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rga\OneDrive\Desktop\"/>
    </mc:Choice>
  </mc:AlternateContent>
  <bookViews>
    <workbookView xWindow="0" yWindow="0" windowWidth="25200" windowHeight="11760" activeTab="1"/>
  </bookViews>
  <sheets>
    <sheet name="Задачі" sheetId="1" r:id="rId1"/>
    <sheet name="Розподіл розділів" sheetId="2" r:id="rId2"/>
  </sheets>
  <calcPr calcId="162913"/>
</workbook>
</file>

<file path=xl/calcChain.xml><?xml version="1.0" encoding="utf-8"?>
<calcChain xmlns="http://schemas.openxmlformats.org/spreadsheetml/2006/main">
  <c r="E33" i="1" l="1"/>
  <c r="F32" i="1"/>
  <c r="E32" i="1"/>
</calcChain>
</file>

<file path=xl/sharedStrings.xml><?xml version="1.0" encoding="utf-8"?>
<sst xmlns="http://schemas.openxmlformats.org/spreadsheetml/2006/main" count="222" uniqueCount="112">
  <si>
    <t>Таблиця розподілу задач спринта</t>
  </si>
  <si>
    <t>№</t>
  </si>
  <si>
    <t>Задача / підзадача</t>
  </si>
  <si>
    <t>Роль</t>
  </si>
  <si>
    <t>Виконавець</t>
  </si>
  <si>
    <t>Оцінка, год</t>
  </si>
  <si>
    <t>Факт, год</t>
  </si>
  <si>
    <t>Статус</t>
  </si>
  <si>
    <t>Артефакт / посилання</t>
  </si>
  <si>
    <t>Рецензент</t>
  </si>
  <si>
    <t>1</t>
  </si>
  <si>
    <t>Управління спринтом та аудит (Керівник тестування)</t>
  </si>
  <si>
    <t>КТ</t>
  </si>
  <si>
    <t>Гатченко Ярослав</t>
  </si>
  <si>
    <t>1.1</t>
  </si>
  <si>
    <t>Декомпозиція замовлення; розподіл розділів SRS між п'ятьма учасниками</t>
  </si>
  <si>
    <t>готово</t>
  </si>
  <si>
    <t>requirements-defects.xlsx, аркуш «Розподіл розділів»</t>
  </si>
  <si>
    <t>Тіньков Данііл</t>
  </si>
  <si>
    <t>1.2</t>
  </si>
  <si>
    <t>Незалежний аудит розд. 1–2 і 5 за шістьма чек-листами</t>
  </si>
  <si>
    <t>Індивідуальний аркуш аудиту (Гатченко)</t>
  </si>
  <si>
    <t>Сирота Володимир</t>
  </si>
  <si>
    <t>1.3</t>
  </si>
  <si>
    <t>Модерація зведення та обговорення спірних рядків; затвердження реєстру</t>
  </si>
  <si>
    <t>requirements-defects.xlsx (аркуші «Реєстр», «Спірні»)</t>
  </si>
  <si>
    <t>Кмець Марк</t>
  </si>
  <si>
    <t>1.4</t>
  </si>
  <si>
    <t>Затвердження пріоритетів і Ціль/Опис у плані; межі тестування</t>
  </si>
  <si>
    <t>test-plan.md, розд. 1–3</t>
  </si>
  <si>
    <t>Сімутін Владислав</t>
  </si>
  <si>
    <t>1.5</t>
  </si>
  <si>
    <t>Сценарій демо (10 хв) і питання замовнику</t>
  </si>
  <si>
    <t>Сценарій демо; перелік питань замовнику</t>
  </si>
  <si>
    <t>1.6</t>
  </si>
  <si>
    <t>Зведення інкременту: структура docs/sprint2, README, перевірка за DoD</t>
  </si>
  <si>
    <t>docs/sprint2/README.md</t>
  </si>
  <si>
    <t>2</t>
  </si>
  <si>
    <t>Реєстр дефектів і виправлена SRS (Тест-аналітик)</t>
  </si>
  <si>
    <t>ТА</t>
  </si>
  <si>
    <t>2.1</t>
  </si>
  <si>
    <t>Незалежний аудит розд. 4 і 6 за шістьма чек-листами</t>
  </si>
  <si>
    <t>Індивідуальний аркуш аудиту (Сирота)</t>
  </si>
  <si>
    <t>2.2</t>
  </si>
  <si>
    <t>Зведення аркушів у реєстр, дедуплікація, класифікація за критеріями</t>
  </si>
  <si>
    <t>requirements-defects.xlsx, аркуш «Реєстр»</t>
  </si>
  <si>
    <t>2.3</t>
  </si>
  <si>
    <t>SRS 1.1: внесення прийнятих правок, журнал змін, нові ID (F-85, GUI-85)</t>
  </si>
  <si>
    <t>SRS-1.1.md</t>
  </si>
  <si>
    <t>2.4</t>
  </si>
  <si>
    <t>Участь у плані: зв'язок вимог із рівнями і типами</t>
  </si>
  <si>
    <t>test-plan.md, розд. 3</t>
  </si>
  <si>
    <t>3</t>
  </si>
  <si>
    <t>План тестування (Інженер з тестування)</t>
  </si>
  <si>
    <t>ІТ</t>
  </si>
  <si>
    <t>3.1</t>
  </si>
  <si>
    <t>Незалежний аудит розд. 3 і 5 за шістьма чек-листами</t>
  </si>
  <si>
    <t>Індивідуальний аркуш аудиту (Сімутін)</t>
  </si>
  <si>
    <t>3.2</t>
  </si>
  <si>
    <t>План: сім рівнів — Ціль, Опис, хто/коли, інструменти</t>
  </si>
  <si>
    <t>test-plan.md, розд. 2</t>
  </si>
  <si>
    <t>3.3</t>
  </si>
  <si>
    <t>План: 24 типи — застосовність, Ціль, Опис, пріоритети; незастосовні з обґрунтуванням</t>
  </si>
  <si>
    <t>test-plan.md, розд. 3–4</t>
  </si>
  <si>
    <t>3.4</t>
  </si>
  <si>
    <t>Тестові дані demo: межові дати, власні номери з префіксом BR-, резерв Docker</t>
  </si>
  <si>
    <t>test-plan.md, розд. 5</t>
  </si>
  <si>
    <t>4</t>
  </si>
  <si>
    <t>Фасилітація процесів та рецензування (Скрам-майстер)</t>
  </si>
  <si>
    <t>СМ</t>
  </si>
  <si>
    <t>4.1</t>
  </si>
  <si>
    <t>Незалежний аудит розд. 3 і 6 за шістьма чек-листами</t>
  </si>
  <si>
    <t>Індивідуальний аркуш аудиту (Тіньков)</t>
  </si>
  <si>
    <t>4.2</t>
  </si>
  <si>
    <t>Ведення таблиці задач, моніторинг асинхронного standup</t>
  </si>
  <si>
    <t>task-board.xlsx</t>
  </si>
  <si>
    <t>4.3</t>
  </si>
  <si>
    <t>Перевірка: кожен дефект має ID, критерій і виправлення; кожен рядок плану має Ціль і Опис</t>
  </si>
  <si>
    <t>Позначки перевірки в реєстрі і плані</t>
  </si>
  <si>
    <t>4.4</t>
  </si>
  <si>
    <t>Протокол ретроспективи; підготовка команди до бліцу</t>
  </si>
  <si>
    <t>5</t>
  </si>
  <si>
    <t>Аудиторський контроль (Аудитор-опонент)</t>
  </si>
  <si>
    <t>АО</t>
  </si>
  <si>
    <t>5.1</t>
  </si>
  <si>
    <t>Незалежний аудит розд. 1–2 і 4 за шістьма чек-листами</t>
  </si>
  <si>
    <t>Індивідуальний аркуш аудиту (Кмець)</t>
  </si>
  <si>
    <t>5.2</t>
  </si>
  <si>
    <t>«Адвокат замовника»: заперечення сумнівним дефектам, рішення</t>
  </si>
  <si>
    <t>requirements-defects.xlsx, аркуш «Спірні»</t>
  </si>
  <si>
    <t>5.3</t>
  </si>
  <si>
    <t>Перевірка реалістичності плану: чи виконується кожен Опис на demo</t>
  </si>
  <si>
    <t>Позначки перевірки в test-plan.md</t>
  </si>
  <si>
    <t>5.4</t>
  </si>
  <si>
    <t>Формулювання 5 очікуваних питань замовника, репетиція відповідей</t>
  </si>
  <si>
    <t>Перелік питань замовника</t>
  </si>
  <si>
    <t>Разом оцінка, год:</t>
  </si>
  <si>
    <t>Розділ SRS</t>
  </si>
  <si>
    <t>Зміст</t>
  </si>
  <si>
    <t>Перевіряючий 1</t>
  </si>
  <si>
    <t>Перевіряючий 2</t>
  </si>
  <si>
    <t>Строк</t>
  </si>
  <si>
    <t>1–2</t>
  </si>
  <si>
    <t>Вступ, терміни (1.3), посилання (1.4), ролі (2.1), середовище, обмеження (2.2–2.3)</t>
  </si>
  <si>
    <t>дні 1–4</t>
  </si>
  <si>
    <t>Функціональні вимоги F-10…F-130</t>
  </si>
  <si>
    <t>Вимоги до інтерфейсу GUI-10…GUI-90</t>
  </si>
  <si>
    <t>Бізнес-логіка модуля BL-10…BL-80</t>
  </si>
  <si>
    <t>6</t>
  </si>
  <si>
    <t>Нефункціональні P-, S-, U-, D-</t>
  </si>
  <si>
    <t>Спринт № 2 «Аудит вимог і стратегія тестування». Команда: Backrooms. Продукт: «СтейНау» (StayNow). Дата планування: 10.10.2026. Статуси: заплановано → в роботі → на рецензії → готово; окремо «перенесено» (куди і чому).</t>
  </si>
  <si>
    <t>retro.md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</si>
</sst>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pane ySplit="4" topLeftCell="A5" activePane="bottomLeft" state="frozen"/>
      <selection pane="bottomLeft" activeCell="H27" sqref="H27"/>
    </sheetView>
  </sheetViews>
  <sheetFormatPr defaultRowHeight="15" x14ac:dyDescent="0.25"/>
  <cols>
    <col min="1" max="1" width="6" customWidth="1"/>
    <col min="2" max="2" width="58" customWidth="1"/>
    <col min="3" max="3" width="7" customWidth="1"/>
    <col min="4" max="4" width="24" customWidth="1"/>
    <col min="5" max="5" width="11" customWidth="1"/>
    <col min="6" max="6" width="10" customWidth="1"/>
    <col min="7" max="7" width="14" customWidth="1"/>
    <col min="8" max="8" width="46" customWidth="1"/>
    <col min="9" max="9" width="22" customWidth="1"/>
  </cols>
  <sheetData>
    <row r="1" spans="1:9" ht="15.75" x14ac:dyDescent="0.25">
      <c r="A1" s="1" t="s">
        <v>0</v>
      </c>
    </row>
    <row r="2" spans="1:9" x14ac:dyDescent="0.25">
      <c r="A2" t="s">
        <v>110</v>
      </c>
    </row>
    <row r="4" spans="1:9" ht="30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x14ac:dyDescent="0.25">
      <c r="A5" s="3" t="s">
        <v>10</v>
      </c>
      <c r="B5" s="3" t="s">
        <v>11</v>
      </c>
      <c r="C5" s="3" t="s">
        <v>12</v>
      </c>
      <c r="D5" s="3" t="s">
        <v>13</v>
      </c>
      <c r="E5" s="3"/>
      <c r="F5" s="3"/>
      <c r="G5" s="3"/>
      <c r="H5" s="3"/>
      <c r="I5" s="3"/>
    </row>
    <row r="6" spans="1:9" ht="30" x14ac:dyDescent="0.25">
      <c r="A6" s="4" t="s">
        <v>14</v>
      </c>
      <c r="B6" s="4" t="s">
        <v>15</v>
      </c>
      <c r="C6" s="4" t="s">
        <v>12</v>
      </c>
      <c r="D6" s="4" t="s">
        <v>13</v>
      </c>
      <c r="E6" s="4">
        <v>2</v>
      </c>
      <c r="F6" s="6">
        <v>2</v>
      </c>
      <c r="G6" s="6" t="s">
        <v>16</v>
      </c>
      <c r="H6" s="4" t="s">
        <v>17</v>
      </c>
      <c r="I6" s="7" t="s">
        <v>18</v>
      </c>
    </row>
    <row r="7" spans="1:9" x14ac:dyDescent="0.25">
      <c r="A7" s="4" t="s">
        <v>19</v>
      </c>
      <c r="B7" s="4" t="s">
        <v>20</v>
      </c>
      <c r="C7" s="4" t="s">
        <v>12</v>
      </c>
      <c r="D7" s="4" t="s">
        <v>13</v>
      </c>
      <c r="E7" s="4">
        <v>3</v>
      </c>
      <c r="F7" s="6">
        <v>3</v>
      </c>
      <c r="G7" s="6" t="s">
        <v>16</v>
      </c>
      <c r="H7" s="4" t="s">
        <v>21</v>
      </c>
      <c r="I7" s="7" t="s">
        <v>22</v>
      </c>
    </row>
    <row r="8" spans="1:9" ht="30" x14ac:dyDescent="0.25">
      <c r="A8" s="4" t="s">
        <v>23</v>
      </c>
      <c r="B8" s="4" t="s">
        <v>24</v>
      </c>
      <c r="C8" s="4" t="s">
        <v>12</v>
      </c>
      <c r="D8" s="4" t="s">
        <v>13</v>
      </c>
      <c r="E8" s="4">
        <v>2</v>
      </c>
      <c r="F8" s="6">
        <v>2</v>
      </c>
      <c r="G8" s="6" t="s">
        <v>16</v>
      </c>
      <c r="H8" s="4" t="s">
        <v>25</v>
      </c>
      <c r="I8" s="7" t="s">
        <v>26</v>
      </c>
    </row>
    <row r="9" spans="1:9" ht="30" x14ac:dyDescent="0.25">
      <c r="A9" s="4" t="s">
        <v>27</v>
      </c>
      <c r="B9" s="4" t="s">
        <v>28</v>
      </c>
      <c r="C9" s="4" t="s">
        <v>12</v>
      </c>
      <c r="D9" s="4" t="s">
        <v>13</v>
      </c>
      <c r="E9" s="4">
        <v>1.5</v>
      </c>
      <c r="F9" s="6">
        <v>1.5</v>
      </c>
      <c r="G9" s="6" t="s">
        <v>16</v>
      </c>
      <c r="H9" s="4" t="s">
        <v>29</v>
      </c>
      <c r="I9" s="7" t="s">
        <v>30</v>
      </c>
    </row>
    <row r="10" spans="1:9" x14ac:dyDescent="0.25">
      <c r="A10" s="4" t="s">
        <v>31</v>
      </c>
      <c r="B10" s="4" t="s">
        <v>32</v>
      </c>
      <c r="C10" s="4" t="s">
        <v>12</v>
      </c>
      <c r="D10" s="4" t="s">
        <v>13</v>
      </c>
      <c r="E10" s="4">
        <v>1.5</v>
      </c>
      <c r="F10" s="6">
        <v>1.5</v>
      </c>
      <c r="G10" s="6" t="s">
        <v>16</v>
      </c>
      <c r="H10" s="4" t="s">
        <v>33</v>
      </c>
      <c r="I10" s="7" t="s">
        <v>18</v>
      </c>
    </row>
    <row r="11" spans="1:9" ht="30" x14ac:dyDescent="0.25">
      <c r="A11" s="4" t="s">
        <v>34</v>
      </c>
      <c r="B11" s="4" t="s">
        <v>35</v>
      </c>
      <c r="C11" s="4" t="s">
        <v>12</v>
      </c>
      <c r="D11" s="4" t="s">
        <v>13</v>
      </c>
      <c r="E11" s="4">
        <v>1.5</v>
      </c>
      <c r="F11" s="6">
        <v>1.5</v>
      </c>
      <c r="G11" s="6" t="s">
        <v>16</v>
      </c>
      <c r="H11" s="4" t="s">
        <v>36</v>
      </c>
      <c r="I11" s="7" t="s">
        <v>26</v>
      </c>
    </row>
    <row r="12" spans="1:9" x14ac:dyDescent="0.25">
      <c r="A12" s="3" t="s">
        <v>37</v>
      </c>
      <c r="B12" s="3" t="s">
        <v>38</v>
      </c>
      <c r="C12" s="3" t="s">
        <v>39</v>
      </c>
      <c r="D12" s="3" t="s">
        <v>22</v>
      </c>
      <c r="E12" s="3"/>
      <c r="F12" s="3"/>
      <c r="G12" s="3"/>
      <c r="H12" s="3"/>
      <c r="I12" s="3"/>
    </row>
    <row r="13" spans="1:9" x14ac:dyDescent="0.25">
      <c r="A13" s="4" t="s">
        <v>40</v>
      </c>
      <c r="B13" s="4" t="s">
        <v>41</v>
      </c>
      <c r="C13" s="4" t="s">
        <v>39</v>
      </c>
      <c r="D13" s="4" t="s">
        <v>22</v>
      </c>
      <c r="E13" s="4">
        <v>3</v>
      </c>
      <c r="F13" s="6">
        <v>3</v>
      </c>
      <c r="G13" s="6" t="s">
        <v>16</v>
      </c>
      <c r="H13" s="4" t="s">
        <v>42</v>
      </c>
      <c r="I13" s="7" t="s">
        <v>18</v>
      </c>
    </row>
    <row r="14" spans="1:9" ht="30" x14ac:dyDescent="0.25">
      <c r="A14" s="4" t="s">
        <v>43</v>
      </c>
      <c r="B14" s="4" t="s">
        <v>44</v>
      </c>
      <c r="C14" s="4" t="s">
        <v>39</v>
      </c>
      <c r="D14" s="4" t="s">
        <v>22</v>
      </c>
      <c r="E14" s="4">
        <v>4</v>
      </c>
      <c r="F14" s="6">
        <v>4</v>
      </c>
      <c r="G14" s="6" t="s">
        <v>16</v>
      </c>
      <c r="H14" s="4" t="s">
        <v>45</v>
      </c>
      <c r="I14" s="7" t="s">
        <v>18</v>
      </c>
    </row>
    <row r="15" spans="1:9" ht="30" x14ac:dyDescent="0.25">
      <c r="A15" s="4" t="s">
        <v>46</v>
      </c>
      <c r="B15" s="4" t="s">
        <v>47</v>
      </c>
      <c r="C15" s="4" t="s">
        <v>39</v>
      </c>
      <c r="D15" s="4" t="s">
        <v>22</v>
      </c>
      <c r="E15" s="4">
        <v>3</v>
      </c>
      <c r="F15" s="6">
        <v>3</v>
      </c>
      <c r="G15" s="6" t="s">
        <v>16</v>
      </c>
      <c r="H15" s="4" t="s">
        <v>48</v>
      </c>
      <c r="I15" s="7" t="s">
        <v>26</v>
      </c>
    </row>
    <row r="16" spans="1:9" x14ac:dyDescent="0.25">
      <c r="A16" s="4" t="s">
        <v>49</v>
      </c>
      <c r="B16" s="4" t="s">
        <v>50</v>
      </c>
      <c r="C16" s="4" t="s">
        <v>39</v>
      </c>
      <c r="D16" s="4" t="s">
        <v>22</v>
      </c>
      <c r="E16" s="4">
        <v>1</v>
      </c>
      <c r="F16" s="6">
        <v>1</v>
      </c>
      <c r="G16" s="6" t="s">
        <v>16</v>
      </c>
      <c r="H16" s="4" t="s">
        <v>51</v>
      </c>
      <c r="I16" s="7" t="s">
        <v>30</v>
      </c>
    </row>
    <row r="17" spans="1:9" x14ac:dyDescent="0.25">
      <c r="A17" s="3" t="s">
        <v>52</v>
      </c>
      <c r="B17" s="3" t="s">
        <v>53</v>
      </c>
      <c r="C17" s="3" t="s">
        <v>54</v>
      </c>
      <c r="D17" s="3" t="s">
        <v>30</v>
      </c>
      <c r="E17" s="3"/>
      <c r="F17" s="3"/>
      <c r="G17" s="3"/>
      <c r="H17" s="3"/>
      <c r="I17" s="3"/>
    </row>
    <row r="18" spans="1:9" x14ac:dyDescent="0.25">
      <c r="A18" s="4" t="s">
        <v>55</v>
      </c>
      <c r="B18" s="4" t="s">
        <v>56</v>
      </c>
      <c r="C18" s="4" t="s">
        <v>54</v>
      </c>
      <c r="D18" s="4" t="s">
        <v>30</v>
      </c>
      <c r="E18" s="4">
        <v>4</v>
      </c>
      <c r="F18" s="6">
        <v>4</v>
      </c>
      <c r="G18" s="6" t="s">
        <v>16</v>
      </c>
      <c r="H18" s="4" t="s">
        <v>57</v>
      </c>
      <c r="I18" s="7" t="s">
        <v>22</v>
      </c>
    </row>
    <row r="19" spans="1:9" x14ac:dyDescent="0.25">
      <c r="A19" s="4" t="s">
        <v>58</v>
      </c>
      <c r="B19" s="4" t="s">
        <v>59</v>
      </c>
      <c r="C19" s="4" t="s">
        <v>54</v>
      </c>
      <c r="D19" s="4" t="s">
        <v>30</v>
      </c>
      <c r="E19" s="4">
        <v>2.5</v>
      </c>
      <c r="F19" s="6">
        <v>2.5</v>
      </c>
      <c r="G19" s="6" t="s">
        <v>16</v>
      </c>
      <c r="H19" s="4" t="s">
        <v>60</v>
      </c>
      <c r="I19" s="7" t="s">
        <v>13</v>
      </c>
    </row>
    <row r="20" spans="1:9" ht="30" x14ac:dyDescent="0.25">
      <c r="A20" s="4" t="s">
        <v>61</v>
      </c>
      <c r="B20" s="4" t="s">
        <v>62</v>
      </c>
      <c r="C20" s="4" t="s">
        <v>54</v>
      </c>
      <c r="D20" s="4" t="s">
        <v>30</v>
      </c>
      <c r="E20" s="4">
        <v>3.5</v>
      </c>
      <c r="F20" s="6">
        <v>3.5</v>
      </c>
      <c r="G20" s="6" t="s">
        <v>16</v>
      </c>
      <c r="H20" s="4" t="s">
        <v>63</v>
      </c>
      <c r="I20" s="7" t="s">
        <v>13</v>
      </c>
    </row>
    <row r="21" spans="1:9" ht="30" x14ac:dyDescent="0.25">
      <c r="A21" s="4" t="s">
        <v>64</v>
      </c>
      <c r="B21" s="4" t="s">
        <v>65</v>
      </c>
      <c r="C21" s="4" t="s">
        <v>54</v>
      </c>
      <c r="D21" s="4" t="s">
        <v>30</v>
      </c>
      <c r="E21" s="4">
        <v>1.5</v>
      </c>
      <c r="F21" s="6">
        <v>1.5</v>
      </c>
      <c r="G21" s="6" t="s">
        <v>16</v>
      </c>
      <c r="H21" s="4" t="s">
        <v>66</v>
      </c>
      <c r="I21" s="7" t="s">
        <v>26</v>
      </c>
    </row>
    <row r="22" spans="1:9" x14ac:dyDescent="0.25">
      <c r="A22" s="3" t="s">
        <v>67</v>
      </c>
      <c r="B22" s="3" t="s">
        <v>68</v>
      </c>
      <c r="C22" s="3" t="s">
        <v>69</v>
      </c>
      <c r="D22" s="3" t="s">
        <v>18</v>
      </c>
      <c r="E22" s="3"/>
      <c r="F22" s="3"/>
      <c r="G22" s="3"/>
      <c r="H22" s="3"/>
      <c r="I22" s="3"/>
    </row>
    <row r="23" spans="1:9" x14ac:dyDescent="0.25">
      <c r="A23" s="4" t="s">
        <v>70</v>
      </c>
      <c r="B23" s="4" t="s">
        <v>71</v>
      </c>
      <c r="C23" s="4" t="s">
        <v>69</v>
      </c>
      <c r="D23" s="4" t="s">
        <v>18</v>
      </c>
      <c r="E23" s="4">
        <v>4</v>
      </c>
      <c r="F23" s="6">
        <v>4</v>
      </c>
      <c r="G23" s="6" t="s">
        <v>16</v>
      </c>
      <c r="H23" s="4" t="s">
        <v>72</v>
      </c>
      <c r="I23" s="7" t="s">
        <v>22</v>
      </c>
    </row>
    <row r="24" spans="1:9" x14ac:dyDescent="0.25">
      <c r="A24" s="4" t="s">
        <v>73</v>
      </c>
      <c r="B24" s="4" t="s">
        <v>74</v>
      </c>
      <c r="C24" s="4" t="s">
        <v>69</v>
      </c>
      <c r="D24" s="4" t="s">
        <v>18</v>
      </c>
      <c r="E24" s="4">
        <v>2</v>
      </c>
      <c r="F24" s="6">
        <v>2</v>
      </c>
      <c r="G24" s="6" t="s">
        <v>16</v>
      </c>
      <c r="H24" s="4" t="s">
        <v>75</v>
      </c>
      <c r="I24" s="7" t="s">
        <v>13</v>
      </c>
    </row>
    <row r="25" spans="1:9" ht="30" x14ac:dyDescent="0.25">
      <c r="A25" s="4" t="s">
        <v>76</v>
      </c>
      <c r="B25" s="4" t="s">
        <v>77</v>
      </c>
      <c r="C25" s="4" t="s">
        <v>69</v>
      </c>
      <c r="D25" s="4" t="s">
        <v>18</v>
      </c>
      <c r="E25" s="4">
        <v>2</v>
      </c>
      <c r="F25" s="6">
        <v>2</v>
      </c>
      <c r="G25" s="6" t="s">
        <v>16</v>
      </c>
      <c r="H25" s="4" t="s">
        <v>78</v>
      </c>
      <c r="I25" s="7" t="s">
        <v>13</v>
      </c>
    </row>
    <row r="26" spans="1:9" x14ac:dyDescent="0.25">
      <c r="A26" s="4" t="s">
        <v>79</v>
      </c>
      <c r="B26" s="4" t="s">
        <v>80</v>
      </c>
      <c r="C26" s="4" t="s">
        <v>69</v>
      </c>
      <c r="D26" s="4" t="s">
        <v>18</v>
      </c>
      <c r="E26" s="4">
        <v>1.5</v>
      </c>
      <c r="F26" s="6">
        <v>1.5</v>
      </c>
      <c r="G26" s="6" t="s">
        <v>16</v>
      </c>
      <c r="H26" s="4" t="s">
        <v>111</v>
      </c>
      <c r="I26" s="7" t="s">
        <v>26</v>
      </c>
    </row>
    <row r="27" spans="1:9" x14ac:dyDescent="0.25">
      <c r="A27" s="3" t="s">
        <v>81</v>
      </c>
      <c r="B27" s="3" t="s">
        <v>82</v>
      </c>
      <c r="C27" s="3" t="s">
        <v>83</v>
      </c>
      <c r="D27" s="3" t="s">
        <v>26</v>
      </c>
      <c r="E27" s="3"/>
      <c r="F27" s="3"/>
      <c r="G27" s="3"/>
      <c r="H27" s="3"/>
      <c r="I27" s="3"/>
    </row>
    <row r="28" spans="1:9" x14ac:dyDescent="0.25">
      <c r="A28" s="4" t="s">
        <v>84</v>
      </c>
      <c r="B28" s="4" t="s">
        <v>85</v>
      </c>
      <c r="C28" s="4" t="s">
        <v>83</v>
      </c>
      <c r="D28" s="4" t="s">
        <v>26</v>
      </c>
      <c r="E28" s="4">
        <v>3</v>
      </c>
      <c r="F28" s="6">
        <v>3</v>
      </c>
      <c r="G28" s="6" t="s">
        <v>16</v>
      </c>
      <c r="H28" s="4" t="s">
        <v>86</v>
      </c>
      <c r="I28" s="7" t="s">
        <v>22</v>
      </c>
    </row>
    <row r="29" spans="1:9" ht="30" x14ac:dyDescent="0.25">
      <c r="A29" s="4" t="s">
        <v>87</v>
      </c>
      <c r="B29" s="4" t="s">
        <v>88</v>
      </c>
      <c r="C29" s="4" t="s">
        <v>83</v>
      </c>
      <c r="D29" s="4" t="s">
        <v>26</v>
      </c>
      <c r="E29" s="4">
        <v>2.5</v>
      </c>
      <c r="F29" s="6">
        <v>2.5</v>
      </c>
      <c r="G29" s="6" t="s">
        <v>16</v>
      </c>
      <c r="H29" s="4" t="s">
        <v>89</v>
      </c>
      <c r="I29" s="7" t="s">
        <v>13</v>
      </c>
    </row>
    <row r="30" spans="1:9" ht="30" x14ac:dyDescent="0.25">
      <c r="A30" s="4" t="s">
        <v>90</v>
      </c>
      <c r="B30" s="4" t="s">
        <v>91</v>
      </c>
      <c r="C30" s="4" t="s">
        <v>83</v>
      </c>
      <c r="D30" s="4" t="s">
        <v>26</v>
      </c>
      <c r="E30" s="4">
        <v>2</v>
      </c>
      <c r="F30" s="6">
        <v>2</v>
      </c>
      <c r="G30" s="6" t="s">
        <v>16</v>
      </c>
      <c r="H30" s="4" t="s">
        <v>92</v>
      </c>
      <c r="I30" s="7" t="s">
        <v>30</v>
      </c>
    </row>
    <row r="31" spans="1:9" ht="30" x14ac:dyDescent="0.25">
      <c r="A31" s="4" t="s">
        <v>93</v>
      </c>
      <c r="B31" s="4" t="s">
        <v>94</v>
      </c>
      <c r="C31" s="4" t="s">
        <v>83</v>
      </c>
      <c r="D31" s="4" t="s">
        <v>26</v>
      </c>
      <c r="E31" s="4">
        <v>1</v>
      </c>
      <c r="F31" s="6">
        <v>1</v>
      </c>
      <c r="G31" s="6" t="s">
        <v>16</v>
      </c>
      <c r="H31" s="4" t="s">
        <v>95</v>
      </c>
      <c r="I31" s="7" t="s">
        <v>13</v>
      </c>
    </row>
    <row r="32" spans="1:9" x14ac:dyDescent="0.25">
      <c r="E32" s="8">
        <f>SUMIF(A5:A31,"*.*",E5:E31)</f>
        <v>52</v>
      </c>
      <c r="F32" s="8">
        <f>SUMIF(A5:A31,"*.*",F5:F31)</f>
        <v>52</v>
      </c>
    </row>
    <row r="33" spans="2:5" x14ac:dyDescent="0.25">
      <c r="B33" s="5" t="s">
        <v>96</v>
      </c>
      <c r="E33">
        <f>SUMIF(A5:A31,"*.*",E5:E31)</f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8" sqref="F8"/>
    </sheetView>
  </sheetViews>
  <sheetFormatPr defaultRowHeight="15" x14ac:dyDescent="0.25"/>
  <cols>
    <col min="1" max="1" width="12" customWidth="1"/>
    <col min="2" max="2" width="50" customWidth="1"/>
    <col min="3" max="4" width="26" customWidth="1"/>
    <col min="5" max="5" width="20" customWidth="1"/>
    <col min="6" max="6" width="14" customWidth="1"/>
  </cols>
  <sheetData>
    <row r="1" spans="1:6" x14ac:dyDescent="0.25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7</v>
      </c>
    </row>
    <row r="2" spans="1:6" ht="30" x14ac:dyDescent="0.25">
      <c r="A2" s="4" t="s">
        <v>102</v>
      </c>
      <c r="B2" s="4" t="s">
        <v>103</v>
      </c>
      <c r="C2" s="4" t="s">
        <v>13</v>
      </c>
      <c r="D2" s="4" t="s">
        <v>26</v>
      </c>
      <c r="E2" s="4" t="s">
        <v>104</v>
      </c>
      <c r="F2" s="10" t="s">
        <v>16</v>
      </c>
    </row>
    <row r="3" spans="1:6" x14ac:dyDescent="0.25">
      <c r="A3" s="4" t="s">
        <v>52</v>
      </c>
      <c r="B3" s="4" t="s">
        <v>105</v>
      </c>
      <c r="C3" s="4" t="s">
        <v>30</v>
      </c>
      <c r="D3" s="4" t="s">
        <v>18</v>
      </c>
      <c r="E3" s="4" t="s">
        <v>104</v>
      </c>
      <c r="F3" s="9" t="s">
        <v>16</v>
      </c>
    </row>
    <row r="4" spans="1:6" x14ac:dyDescent="0.25">
      <c r="A4" s="4" t="s">
        <v>67</v>
      </c>
      <c r="B4" s="4" t="s">
        <v>106</v>
      </c>
      <c r="C4" s="4" t="s">
        <v>22</v>
      </c>
      <c r="D4" s="4" t="s">
        <v>26</v>
      </c>
      <c r="E4" s="4" t="s">
        <v>104</v>
      </c>
      <c r="F4" s="9" t="s">
        <v>16</v>
      </c>
    </row>
    <row r="5" spans="1:6" x14ac:dyDescent="0.25">
      <c r="A5" s="4" t="s">
        <v>81</v>
      </c>
      <c r="B5" s="4" t="s">
        <v>107</v>
      </c>
      <c r="C5" s="4" t="s">
        <v>13</v>
      </c>
      <c r="D5" s="4" t="s">
        <v>30</v>
      </c>
      <c r="E5" s="4" t="s">
        <v>104</v>
      </c>
      <c r="F5" s="9" t="s">
        <v>16</v>
      </c>
    </row>
    <row r="6" spans="1:6" x14ac:dyDescent="0.25">
      <c r="A6" s="4" t="s">
        <v>108</v>
      </c>
      <c r="B6" s="4" t="s">
        <v>109</v>
      </c>
      <c r="C6" s="4" t="s">
        <v>22</v>
      </c>
      <c r="D6" s="4" t="s">
        <v>18</v>
      </c>
      <c r="E6" s="4" t="s">
        <v>104</v>
      </c>
      <c r="F6" s="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Задачі</vt:lpstr>
      <vt:lpstr>Розподіл розділів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Ярослав Гатченко</cp:lastModifiedBy>
  <dcterms:created xsi:type="dcterms:W3CDTF">2026-10-06T19:48:02Z</dcterms:created>
  <dcterms:modified xsi:type="dcterms:W3CDTF">2026-10-16T06:07:41Z</dcterms:modified>
</cp:coreProperties>
</file>