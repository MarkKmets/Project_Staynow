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ter\OneDrive\Рабочий стол\Нова папка\docs\sprint3\"/>
    </mc:Choice>
  </mc:AlternateContent>
  <bookViews>
    <workbookView xWindow="0" yWindow="0" windowWidth="23040" windowHeight="9072" activeTab="1"/>
  </bookViews>
  <sheets>
    <sheet name="Test cases" sheetId="1" r:id="rId1"/>
    <sheet name="Coverage" sheetId="2" r:id="rId2"/>
    <sheet name="Review" sheetId="3" r:id="rId3"/>
    <sheet name="Data" sheetId="4" r:id="rId4"/>
  </sheets>
  <calcPr calcId="162913"/>
</workbook>
</file>

<file path=xl/calcChain.xml><?xml version="1.0" encoding="utf-8"?>
<calcChain xmlns="http://schemas.openxmlformats.org/spreadsheetml/2006/main">
  <c r="C13" i="4" l="1"/>
  <c r="C12" i="4"/>
  <c r="C11" i="4"/>
  <c r="C10" i="4"/>
  <c r="C9" i="4"/>
  <c r="C8" i="4"/>
  <c r="C7" i="4"/>
  <c r="C6" i="4"/>
  <c r="C5" i="4"/>
  <c r="C4" i="4"/>
  <c r="C3" i="4"/>
  <c r="C2" i="4"/>
</calcChain>
</file>

<file path=xl/sharedStrings.xml><?xml version="1.0" encoding="utf-8"?>
<sst xmlns="http://schemas.openxmlformats.org/spreadsheetml/2006/main" count="1056" uniqueCount="463">
  <si>
    <t>ID</t>
  </si>
  <si>
    <t>Вимога</t>
  </si>
  <si>
    <t>Заголовок</t>
  </si>
  <si>
    <t>Передумови</t>
  </si>
  <si>
    <t>Кроки</t>
  </si>
  <si>
    <t>Очікуваний результат</t>
  </si>
  <si>
    <t>Пріоритет</t>
  </si>
  <si>
    <t>Тип</t>
  </si>
  <si>
    <t>Автор</t>
  </si>
  <si>
    <t>Рецензент</t>
  </si>
  <si>
    <t>Дата рецензування</t>
  </si>
  <si>
    <t>Статус кейсу</t>
  </si>
  <si>
    <t>Issue (Bug ID)</t>
  </si>
  <si>
    <t>ID вимоги</t>
  </si>
  <si>
    <t>Формулювання (скорочено)</t>
  </si>
  <si>
    <t>TC-…</t>
  </si>
  <si>
    <t>Примітка</t>
  </si>
  <si>
    <t>F-10</t>
  </si>
  <si>
    <t>Головна сторінка: назва, опис, «Book Now», меню; прокручування; «Admin» → /admin</t>
  </si>
  <si>
    <t>TC-001, TC-002, TC-003, TC-004</t>
  </si>
  <si>
    <t>Покрито</t>
  </si>
  <si>
    <t>F-20</t>
  </si>
  <si>
    <t>«Our Rooms»: тип, опис, зручності, ціна, «Book now» → /reservation/{id} із checkin/checkout</t>
  </si>
  <si>
    <t>TC-006, TC-007</t>
  </si>
  <si>
    <t>F-30</t>
  </si>
  <si>
    <t>Віджет доступності: оновлення переліку; помилка при недопустимих датах</t>
  </si>
  <si>
    <t>TC-010, TC-011, TC-012, TC-013, TC-014</t>
  </si>
  <si>
    <t>Покрито (позитивні й негативні кейси)</t>
  </si>
  <si>
    <t>F-40</t>
  </si>
  <si>
    <t>Оновлення переліку ≤ 3 с; зайнятий номер не показується</t>
  </si>
  <si>
    <t>TC-015, TC-016, TC-017</t>
  </si>
  <si>
    <t>F-50</t>
  </si>
  <si>
    <t>Сторінка номера: тип, Accessible, Max N Guests, правила, календар, Price Summary</t>
  </si>
  <si>
    <t>TC-018, TC-019</t>
  </si>
  <si>
    <t>F-60</t>
  </si>
  <si>
    <t>Бронювання: «Reserve Now», поля, перевірка, збереження, «Booking Confirmed» з датами</t>
  </si>
  <si>
    <t>TC-020, TC-022, TC-023</t>
  </si>
  <si>
    <t>F-70</t>
  </si>
  <si>
    <t>Форма «Send Us a Message»: межі тема 5–100, повідомлення 20–2000, телефон 11–21</t>
  </si>
  <si>
    <t>TC-024, TC-025, TC-026, TC-027, TC-028, TC-029, TC-030, TC-031, TC-032, TC-033</t>
  </si>
  <si>
    <t>F-80</t>
  </si>
  <si>
    <t>Вхід адміністратора /admin; неправильні дані не дають доступу</t>
  </si>
  <si>
    <t>TC-034, TC-035</t>
  </si>
  <si>
    <t>F-85</t>
  </si>
  <si>
    <t>«Logout» повертає на вхід; адмінпанель без входу недоступна</t>
  </si>
  <si>
    <t>TC-037, TC-038</t>
  </si>
  <si>
    <t>F-90</t>
  </si>
  <si>
    <t>Створення (з перевіркою полів) і видалення номера</t>
  </si>
  <si>
    <t>TC-039, TC-040, TC-041, TC-042</t>
  </si>
  <si>
    <t>F-100</t>
  </si>
  <si>
    <t>Повідомлення гостей: перелік, непрочитані, відкрити / видалити</t>
  </si>
  <si>
    <t>TC-043, TC-044</t>
  </si>
  <si>
    <t>F-110</t>
  </si>
  <si>
    <t>Скасування бронювання: безкоштовно за 7+ днів, інакше плата</t>
  </si>
  <si>
    <t>—</t>
  </si>
  <si>
    <t>Не покрито: на demo немає скасування бронювання гостем і політики скасування (SRS 2.3 — правило реалізоване лише в модулі). Перевіряється юніт-тестами BL-60 (спринт 4) і на приймальному замовником (спринт 5).</t>
  </si>
  <si>
    <t>F-120</t>
  </si>
  <si>
    <t>Звіт заповнюваності; майбутні періоди — «прогноз»</t>
  </si>
  <si>
    <t>TC-045</t>
  </si>
  <si>
    <t>Частково: перевіряється майбутній період із позначкою «прогноз» (TC-045). Звіт за минулий і поточний період за фактичними даними окремим кейсом не покрито, бо на demo немає даних про фактичне заселення і виселення.</t>
  </si>
  <si>
    <t>F-130</t>
  </si>
  <si>
    <t>Сесія: Logout, 30 хв без дій, 24 год від входу</t>
  </si>
  <si>
    <t>TC-046</t>
  </si>
  <si>
    <t>Частково: 30 хв без дій і Logout покрито (TC-046, TC-037). Умова «24 години від входу» не покрита: потребує доби очікування і не вкладається у прогін.</t>
  </si>
  <si>
    <t>GUI-10</t>
  </si>
  <si>
    <t>Шапка: назва ліворуч, шість посилань праворуч, видима при прокручуванні</t>
  </si>
  <si>
    <t>TC-005</t>
  </si>
  <si>
    <t>GUI-20</t>
  </si>
  <si>
    <t>Формат дат за мовою браузера (uk / en-US); у URL РРРР-ММ-ДД; календар</t>
  </si>
  <si>
    <t>TC-008, TC-009</t>
  </si>
  <si>
    <t>GUI-30</t>
  </si>
  <si>
    <t>Картка номера: зображення, тип, опис, зручності з піктограмами, ціна, «Book now»</t>
  </si>
  <si>
    <t>TC-006</t>
  </si>
  <si>
    <t>GUI-40</t>
  </si>
  <si>
    <t>Форма бронювання: чотири поля з підказками; «Reserve Now», «Cancel»</t>
  </si>
  <si>
    <t>TC-020, TC-021</t>
  </si>
  <si>
    <t>GUI-50</t>
  </si>
  <si>
    <t>«Price Summary»: рядки, збори £25 і £15, «Total» напівжирним</t>
  </si>
  <si>
    <t>TC-019</t>
  </si>
  <si>
    <t>GUI-60</t>
  </si>
  <si>
    <t>Повідомлення про помилку: поле, обмеження, ≤100 символів, над кнопкою</t>
  </si>
  <si>
    <t>TC-011, TC-012, TC-013, TC-022, TC-023, TC-027, TC-028, TC-029, TC-030, TC-031, TC-032, TC-033, TC-041, TC-042</t>
  </si>
  <si>
    <t>GUI-70</t>
  </si>
  <si>
    <t>Сторінка входу: заголовок, підписи, підказки, маска пароля, «Login», шапка</t>
  </si>
  <si>
    <t>TC-035, TC-036</t>
  </si>
  <si>
    <t>GUI-80</t>
  </si>
  <si>
    <t>«Reserve Now» завжди активна; перелік помилок над кнопкою</t>
  </si>
  <si>
    <t>TC-022</t>
  </si>
  <si>
    <t>GUI-85</t>
  </si>
  <si>
    <t>Форма «Send Us a Message»: поля, «Submit», подяка з іменем і темою</t>
  </si>
  <si>
    <t>TC-024</t>
  </si>
  <si>
    <t>GUI-90</t>
  </si>
  <si>
    <t>Без перекриття елементів у Chrome і Firefox, ширина від 375 px</t>
  </si>
  <si>
    <t>TC-048, TC-049</t>
  </si>
  <si>
    <t>BL-10</t>
  </si>
  <si>
    <t>BookingValidator.validate: дати, ночі 1…30, заїзд ≥ today, guests, коди помилок</t>
  </si>
  <si>
    <t>TC-013, TC-014</t>
  </si>
  <si>
    <t>Не покрито в інтерфейсі: перевірка guests/capacity і коди BookingError відсутні на demo (SRS 2.3). Частково видно через F-30: заїзд раніше за поточну дату. Юніт-тести — спринт 4.</t>
  </si>
  <si>
    <t>BL-20</t>
  </si>
  <si>
    <t>isValidEmail, isValidPhone, коди INVALID_EMAIL / INVALID_PHONE</t>
  </si>
  <si>
    <t>Не покрито: методи isValidEmail / isValidPhone є лише в модулі. Приклад негативної перевірки email через інтерфейс — TC-023 (F-60). Юніт-тести — спринт 4.</t>
  </si>
  <si>
    <t>BL-30</t>
  </si>
  <si>
    <t>Надбавка 15 % за вихідні ночі (isWeekendNight)</t>
  </si>
  <si>
    <t>Не покрито: надбавка за вихідні є лише в модулі, на demo вартість за фіксованим тарифом (SRS 2.3). Юніт-тести — спринт 4.</t>
  </si>
  <si>
    <t>BL-40</t>
  </si>
  <si>
    <t>seasonFactor: 1,30 / 0,80 / 1,00</t>
  </si>
  <si>
    <t>Не покрито: сезонні коефіцієнти є лише в модулі (SRS 2.3). Юніт-тести — спринт 4.</t>
  </si>
  <si>
    <t>BL-50</t>
  </si>
  <si>
    <t>nightPrice, total, знижка 10 % за 7+ ночей, винятки</t>
  </si>
  <si>
    <t>Не покрито: формула вартості з коефіцієнтами є лише в модулі (SRS 2.3); арифметику demo перевіряє TC-019. Юніт-тести — спринт 4.</t>
  </si>
  <si>
    <t>BL-60</t>
  </si>
  <si>
    <t>cancellationFee і refund: 0 % / 50 % / 100 %</t>
  </si>
  <si>
    <t>Не покрито: політика скасування є лише в модулі (SRS 2.3). Юніт-тести — спринт 4.</t>
  </si>
  <si>
    <t>BL-70</t>
  </si>
  <si>
    <t>isAvailable, book: напіввідкриті інтервали, IllegalStateException</t>
  </si>
  <si>
    <t>TC-015, TC-016</t>
  </si>
  <si>
    <t>Частково через інтерфейс: зайнятий номер не показується для перетину, показується для суміжного інтервалу (TC-015, TC-016). Решту покриють юніт-тести (спринт 4).</t>
  </si>
  <si>
    <t>P-10</t>
  </si>
  <si>
    <t>Список номерів завантажується ≤ 3 с на 4G у Chrome</t>
  </si>
  <si>
    <t>TC-047</t>
  </si>
  <si>
    <t>P-20</t>
  </si>
  <si>
    <t>50 одночасних користувачів: p95 ≤ 3 с, помилок &lt; 1 %</t>
  </si>
  <si>
    <t>Не покрито: навантажувальні перевірки на публічному demo заборонені (розд. 5.4 методички; test-plan.md). Виконується лише на локальному Docker-резерві за рішенням викладача.</t>
  </si>
  <si>
    <t>S-10</t>
  </si>
  <si>
    <t>Адмінпанель недоступна без автентифікації; екранування; облікові дані не в URL</t>
  </si>
  <si>
    <t>TC-034, TC-038</t>
  </si>
  <si>
    <t>Частково: доступ без входу за прямою адресою (TC-038), облікові дані не в URL (TC-034), маскування пароля (TC-036). Екранування введених даних не перевіряється: ін'єкції на публічному demo заборонені (розд. 5.4), лише на локальному резерві.</t>
  </si>
  <si>
    <t>S-20</t>
  </si>
  <si>
    <t>Сесія адміністратора завершується через 30 хв неактивності</t>
  </si>
  <si>
    <t>U-10</t>
  </si>
  <si>
    <t>Бронювання новим користувачем ≤ 3 хв, ≤ 1 помилки; 4 з 5 учасників</t>
  </si>
  <si>
    <t>Не покрито: потребує п'яти учасників поза командою і вимірювання часу (юзабіліті-тестування, test-plan.md тип 9, спринт 5).</t>
  </si>
  <si>
    <t>U-20</t>
  </si>
  <si>
    <t>Єдина схема форм: підказки і перелік помилок над кнопкою</t>
  </si>
  <si>
    <t>TC-022, TC-027</t>
  </si>
  <si>
    <t>D-10</t>
  </si>
  <si>
    <t>README модуля, javadoc</t>
  </si>
  <si>
    <t>Не покрито: README і javadoc модуля з'являються разом із модулем (спринти 4–5).</t>
  </si>
  <si>
    <t>D-20</t>
  </si>
  <si>
    <t>Довідка адміністратора admin-help.md</t>
  </si>
  <si>
    <t>Не покрито: файл admin-help.md ще не створено; перевірка документації — після його появи.</t>
  </si>
  <si>
    <t>TC-ID</t>
  </si>
  <si>
    <t>Дата</t>
  </si>
  <si>
    <t>Зауваження</t>
  </si>
  <si>
    <t>Виправлено (так/ні)</t>
  </si>
  <si>
    <t>ID даних</t>
  </si>
  <si>
    <t>Значення (вставити в поле без змін)</t>
  </si>
  <si>
    <t>Довжина</t>
  </si>
  <si>
    <t>Призначення</t>
  </si>
  <si>
    <t>D-SUBJ-4</t>
  </si>
  <si>
    <t>Abcd</t>
  </si>
  <si>
    <t>«Subject»: нижня межа 5 мінус 1 (недійсне)</t>
  </si>
  <si>
    <t>D-SUBJ-5</t>
  </si>
  <si>
    <t>Abcde</t>
  </si>
  <si>
    <t>«Subject»: нижня межа 5</t>
  </si>
  <si>
    <t>D-SUBJ-100</t>
  </si>
  <si>
    <t>BR-subject-xxxxxxxxxxxxxxxxxxxxxxxxxxxxxxxxxxxxxxxxxxxxxxxxxxxxxxxxxxxxxxxxxxxxxxxxxxxxxxxxxxxxxxxxx</t>
  </si>
  <si>
    <t>«Subject»: верхня межа 100</t>
  </si>
  <si>
    <t>D-SUBJ-101</t>
  </si>
  <si>
    <t>BR-subject-xxxxxxxxxxxxxxxxxxxxxxxxxxxxxxxxxxxxxxxxxxxxxxxxxxxxxxxxxxxxxxxxxxxxxxxxxxxxxxxxxxxxxxxxxx</t>
  </si>
  <si>
    <t>«Subject»: верхня межа 100 плюс 1 (недійсне)</t>
  </si>
  <si>
    <t>D-MSG-19</t>
  </si>
  <si>
    <t>BR message BR messa</t>
  </si>
  <si>
    <t>«Message»: нижня межа 20 мінус 1 (недійсне)</t>
  </si>
  <si>
    <t>D-MSG-20</t>
  </si>
  <si>
    <t>BR message BR messag</t>
  </si>
  <si>
    <t>«Message»: нижня межа 20</t>
  </si>
  <si>
    <t>D-MSG-2000</t>
  </si>
  <si>
    <t xml:space="preserve">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BR message 2000 </t>
  </si>
  <si>
    <t>«Message»: верхня межа 2000</t>
  </si>
  <si>
    <t>D-MSG-2001</t>
  </si>
  <si>
    <t>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BR message 2001 B</t>
  </si>
  <si>
    <t>«Message»: верхня межа 2000 плюс 1 (недійсне)</t>
  </si>
  <si>
    <t>D-PH-10</t>
  </si>
  <si>
    <t>0123456789</t>
  </si>
  <si>
    <t>«Phone»: нижня межа 11 мінус 1 (недійсне)</t>
  </si>
  <si>
    <t>D-PH-11</t>
  </si>
  <si>
    <t>01234567890</t>
  </si>
  <si>
    <t>«Phone»: нижня межа 11</t>
  </si>
  <si>
    <t>D-PH-21</t>
  </si>
  <si>
    <t>012345678901234567890</t>
  </si>
  <si>
    <t>«Phone»: верхня межа 21</t>
  </si>
  <si>
    <t>D-PH-22</t>
  </si>
  <si>
    <t>0123456789012345678901</t>
  </si>
  <si>
    <t>«Phone»: верхня межа 21 плюс 1 (недійсне)</t>
  </si>
  <si>
    <t>TC-001</t>
  </si>
  <si>
    <t>Головна сторінка містить назву готелю, опис, кнопку «Book Now» і меню з шести пунктів</t>
  </si>
  <si>
    <t>Chrome (поточна версія), нове вікно інкогніто, мова браузера en-US, без входу, ширина вікна не менше 1366 px</t>
  </si>
  <si>
    <t>1. Відкрити https://automationintesting.online у Chrome (нове вікно інкогніто).
2. Переглянути верхню частину сторінки.
3. Переглянути меню.
4. Закрити вікно інкогніто.</t>
  </si>
  <si>
    <t>1. Головна сторінка завантажилась без повідомлень про помилку.
2. Показано назву готелю, текстовий опис і кнопку «Book Now».
3. Меню містить рівно шість пунктів: «Rooms», «Booking», «Amenities», «Location», «Contact», «Admin».
4. Вікно закрито, сесія завершена.</t>
  </si>
  <si>
    <t>High</t>
  </si>
  <si>
    <t>позитивний</t>
  </si>
  <si>
    <t>Гатченко Я. (ТА)</t>
  </si>
  <si>
    <t>Сімутін Владислав</t>
  </si>
  <si>
    <t>29.10.2026</t>
  </si>
  <si>
    <t>reviewed</t>
  </si>
  <si>
    <t>TC-002</t>
  </si>
  <si>
    <t>Пункти меню «Rooms», «Booking», «Amenities», «Location», «Contact» прокручують сторінку до відповідних розділів</t>
  </si>
  <si>
    <t>1. Відкрити https://automationintesting.online у Chrome (нове вікно інкогніто).
2. Натиснути пункт меню «Rooms».
3. Натиснути пункт меню «Booking».
4. Натиснути пункт меню «Amenities».
5. Натиснути пункт меню «Location».
6. Натиснути пункт меню «Contact».
7. Закрити вікно інкогніто.</t>
  </si>
  <si>
    <t>1. Головна сторінка завантажилась без повідомлень про помилку.
2. Сторінку прокручено; у видимій частині вікна розділ «Our Rooms».
3. У видимій частині вікна віджет «Check Availability &amp; Book Your Stay».
4. У видимій частині вікна розділ про зручності готелю; заголовок розділу записати в коментар журналу.
5. У видимій частині вікна розділ про розташування готелю; заголовок розділу записати в коментар журналу.
6. У видимій частині вікна розділ «Send Us a Message».
7. Вікно закрито, сесія завершена.</t>
  </si>
  <si>
    <t>TC-003</t>
  </si>
  <si>
    <t>Кнопка «Book Now» прокручує сторінку до віджета «Check Availability &amp; Book Your Stay»</t>
  </si>
  <si>
    <t>1. Відкрити https://automationintesting.online у Chrome (нове вікно інкогніто).
2. Натиснути кнопку «Book Now» у верхній частині сторінки.
3. Закрити вікно інкогніто.</t>
  </si>
  <si>
    <t>1. Головна сторінка завантажилась без повідомлень про помилку.
2. Сторінку прокручено; у видимій частині вікна віджет «Check Availability &amp; Book Your Stay» із полями «Check In», «Check Out» і кнопкою «Check Availability».
3. Вікно закрито, сесія завершена.</t>
  </si>
  <si>
    <t>TC-004</t>
  </si>
  <si>
    <t>Пункт меню «Admin» відкриває сторінку входу до адмінпанелі за адресою /admin</t>
  </si>
  <si>
    <t>1. Відкрити https://automationintesting.online у Chrome (нове вікно інкогніто).
2. Натиснути пункт меню «Admin».
3. Закрити вікно інкогніто.</t>
  </si>
  <si>
    <t>1. Головна сторінка завантажилась без повідомлень про помилку.
2. Адреса у рядку браузера: https://automationintesting.online/admin; відкрито сторінку входу із заголовком «Login».
3. Вікно закрито, сесія завершена.</t>
  </si>
  <si>
    <t>Шапка містить ліворуч назву готелю, праворуч шість посилань і лишається видимою при прокручуванні</t>
  </si>
  <si>
    <t>1. Відкрити https://automationintesting.online у Chrome (нове вікно інкогніто).
2. Переглянути шапку сторінки.
3. Натиснути клавішу End, щоб прокрутити сторінку до кінця.
4. Переглянути верхню частину вікна.
5. Закрити вікно інкогніто.</t>
  </si>
  <si>
    <t>1. Головна сторінка завантажилась без повідомлень про помилку.
2. Ліворуч назва готелю; праворуч посилання «Rooms», «Booking», «Amenities», «Location», «Contact», «Admin».
3. Сторінку прокручено до кінця.
4. Шапка видима у верхній частині вікна, з тією самою назвою і шістьма посиланнями.
5. Вікно закрито, сесія завершена.</t>
  </si>
  <si>
    <t>F-20; GUI-30</t>
  </si>
  <si>
    <t>Розділ «Our Rooms»: картка номера BR-201 (£137) містить тип, опис, зручності, ціну й кнопку «Book now»</t>
  </si>
  <si>
    <t>Chrome (поточна версія), нове вікно інкогніто, мова браузера en-US, без входу, ширина вікна не менше 1366 px. Номер BR-201 (Single, £137 за ніч, зручності WiFi і TV) створено (аркуш «Environment»)
BR-201/BR-202 — спеціально підготовлені тестові номери; їхні тарифи не є базовими тарифами публічного demo. Для перевірки очікувань потрібно забезпечити ці тестові дані.</t>
  </si>
  <si>
    <t>1. Відкрити https://automationintesting.online у Chrome (нове вікно інкогніто).
2. Натиснути пункт меню «Rooms».
3. Знайти картку із ціною «£137 per night».
4. Переглянути кнопки картки.
5. Переглянути типи в усіх картках розділу.
6. Закрити вікно інкогніто.</t>
  </si>
  <si>
    <t>1. Головна сторінка завантажилась без повідомлень про помилку.
2. У видимій частині вікна розділ «Our Rooms» зі списком карток номерів.
3. Картка знайдена; тип «Single»; є зображення, короткий опис і піктограми зручностей WiFi та TV.
4. У картці є кнопка «Book now».
5. Тип кожної картки належить переліку: Single, Twin, Double, Family, Suite.
6. Вікно закрито, сесія завершена.</t>
  </si>
  <si>
    <t>reviewed — умови уточнено</t>
  </si>
  <si>
    <t>TC-007</t>
  </si>
  <si>
    <t>Кнопка «Book now» відкриває /reservation/{id} з датами 2026-12-21 і 2026-12-24 у параметрах checkin і checkout</t>
  </si>
  <si>
    <t>Chrome (поточна версія), нове вікно інкогніто, мова браузера en-US, без входу, ширина вікна не менше 1366 px. Номер BR-201 (£137) вільний на 2026-12-21…2026-12-24</t>
  </si>
  <si>
    <t>1. Відкрити https://automationintesting.online у Chrome (нове вікно інкогніто).
2. Натиснути пункт меню «Booking».
3. У полі «Check In» вибрати у календарі 21 грудня 2026.
4. У полі «Check Out» вибрати у календарі 24 грудня 2026.
5. Натиснути кнопку «Check Availability».
6. У картці з ціною «£137 per night» натиснути «Book now».
7. Закрити вікно інкогніто.</t>
  </si>
  <si>
    <t>1. Головна сторінка завантажилась без повідомлень про помилку.
2. У видимій частині вікна віджет доступності.
3. У полі «Check In» показано обрану дату.
4. У полі «Check Out» показано обрану дату.
5. Список номерів оновлено; є картка з ціною «£137 per night».
6. Адреса починається з https://automationintesting.online/reservation/ і містить checkin=2026-12-21 та checkout=2026-12-24.
7. Вікно закрито, сесія завершена.</t>
  </si>
  <si>
    <t>TC-008</t>
  </si>
  <si>
    <t>Формат дат у полях «Check In» і «Check Out» для мови браузера uk — дд/мм/рррр</t>
  </si>
  <si>
    <t>Chrome (поточна версія), у налаштуваннях chrome://settings/languages мову «Українська» перенесено на першу позицію і браузер перезапущено; нове вікно інкогніто; без входу</t>
  </si>
  <si>
    <t>1. Відкрити https://automationintesting.online у Chrome (нове вікно інкогніто).
2. Натиснути пункт меню «Booking».
3. Натиснути на поле «Check In».
4. У календарі вибрати 21 грудня 2026.
5. Натиснути на поле «Check Out» і вибрати 24 грудня 2026.
6. Закрити вікно інкогніто.</t>
  </si>
  <si>
    <t>1. Головна сторінка завантажилась без повідомлень про помилку.
2. У видимій частині вікна віджет доступності.
3. Відкрито календар для вибору дати.
4. У полі «Check In» показано 21/12/2026.
5. У полі «Check Out» показано 24/12/2026.
6. Вікно закрито, сесія завершена.</t>
  </si>
  <si>
    <t>Medium</t>
  </si>
  <si>
    <t>TC-009</t>
  </si>
  <si>
    <t>Формат дат у полях «Check In» і «Check Out» для мови браузера en-US — мм/дд/рррр</t>
  </si>
  <si>
    <t>Chrome (поточна версія), у налаштуваннях chrome://settings/languages мову «English (United States)» перенесено на першу позицію і браузер перезапущено; нове вікно інкогніто; без входу</t>
  </si>
  <si>
    <t>1. Головна сторінка завантажилась без повідомлень про помилку.
2. У видимій частині вікна віджет доступності.
3. Відкрито календар для вибору дати.
4. У полі «Check In» показано 12/21/2026.
5. У полі «Check Out» показано 12/24/2026.
6. Вікно закрито, сесія завершена.</t>
  </si>
  <si>
    <t>TC-010</t>
  </si>
  <si>
    <t>Перевірка доступності на 2026-12-21…2026-12-24 оновлює перелік номерів без повідомлень про помилку</t>
  </si>
  <si>
    <t>Chrome (поточна версія), нове вікно інкогніто, мова браузера en-US, без входу, ширина вікна не менше 1366 px. Номери BR-201 (£137) і BR-202 (£149) вільні на 2026-12-21…2026-12-24
BR-201/BR-202 — спеціально підготовлені тестові номери; їхні тарифи не є базовими тарифами публічного demo. Для перевірки очікувань потрібно забезпечити ці тестові дані.</t>
  </si>
  <si>
    <t>1. Відкрити https://automationintesting.online у Chrome (нове вікно інкогніто).
2. Натиснути пункт меню «Booking».
3. У полі «Check In» вибрати у календарі 21 грудня 2026.
4. У полі «Check Out» вибрати у календарі 24 грудня 2026.
5. Натиснути кнопку «Check Availability».
6. Закрити вікно інкогніто.</t>
  </si>
  <si>
    <t>1. Головна сторінка завантажилась без повідомлень про помилку.
2. У видимій частині вікна віджет доступності.
3. У полі показано обрану дату.
4. У полі показано обрану дату.
5. Повідомлень про помилку немає; список оновлено; серед карток є «£137 per night» і «£149 per night».
6. Вікно закрито, сесія завершена.</t>
  </si>
  <si>
    <t>TC-011</t>
  </si>
  <si>
    <t>F-30; GUI-60</t>
  </si>
  <si>
    <t>Перевірка доступності без обраних дат не оновлює перелік і показує повідомлення про помилку</t>
  </si>
  <si>
    <t>1. Відкрити https://automationintesting.online у Chrome (нове вікно інкогніто).
2. Натиснути пункт меню «Rooms» і порахувати картки номерів; записати кількість.
3. Натиснути пункт меню «Booking».
4. Натиснути кнопку «Check Availability».
5. Натиснути пункт меню «Rooms» і порахувати картки.
6. Закрити вікно інкогніто.</t>
  </si>
  <si>
    <t>1. Головна сторінка завантажилась без повідомлень про помилку.
2. Кількість карток записано.
3. У видимій частині вікна віджет доступності; поля «Check In» і «Check Out» порожні.
4. Показано повідомлення про помилку, що називає поля дат і обмеження (GUI-60).
5. Кількість карток така сама, як на кроці 2.
6. Вікно закрито, сесія завершена.</t>
  </si>
  <si>
    <t>негативний</t>
  </si>
  <si>
    <t>TC-012</t>
  </si>
  <si>
    <t>Дата виїзду дорівнює даті заїзду (граничне значення): перелік не оновлюється, показано повідомлення про помилку</t>
  </si>
  <si>
    <t>1. Відкрити https://automationintesting.online у Chrome (нове вікно інкогніто).
2. Натиснути пункт меню «Rooms» і порахувати картки номерів; записати кількість.
3. Натиснути пункт меню «Booking» і в полі «Check In» вибрати 21 грудня 2026.
4. У полі «Check Out» вибрати 21 грудня 2026.
5. Натиснути кнопку «Check Availability».
6. Натиснути пункт меню «Rooms» і порахувати картки.
7. Закрити вікно інкогніто.</t>
  </si>
  <si>
    <t>1. Головна сторінка завантажилась без повідомлень про помилку.
2. Кількість карток записано.
3. У полі «Check In» показано обрану дату.
4. У полі «Check Out» показано ту саму дату.
5. Показано повідомлення про помилку, що називає дату виїзду і обмеження (виїзд пізніший за заїзд).
6. Кількість карток така сама, як на кроці 2.
7. Вікно закрито, сесія завершена.</t>
  </si>
  <si>
    <t>TC-013</t>
  </si>
  <si>
    <t>Дата заїзду — вчора (граничне значення): перелік не оновлюється, показано повідомлення про помилку</t>
  </si>
  <si>
    <t>Chrome (поточна версія), нове вікно інкогніто, мова браузера en-US, без входу, ширина вікна не менше 1366 px. Дати: вчора — день перед датою прогону; сьогодні — дата прогону (зафіксувати в журналі)</t>
  </si>
  <si>
    <t>1. Відкрити https://automationintesting.online у Chrome (нове вікно інкогніто).
2. Натиснути пункт меню «Rooms» і порахувати картки номерів; записати кількість.
3. Натиснути пункт меню «Booking» і в полі «Check In» вибрати вчорашню дату.
4. У полі «Check Out» вибрати сьогоднішню дату.
5. Натиснути кнопку «Check Availability».
6. Натиснути пункт меню «Rooms» і порахувати картки.
7. Закрити вікно інкогніто.</t>
  </si>
  <si>
    <t>1. Головна сторінка завантажилась без повідомлень про помилку.
2. Кількість карток записано.
3. У полі «Check In» показано вчорашню дату (якщо календар не дозволяє її вибрати — ввести дату з клавіатури).
4. У полі «Check Out» показано сьогоднішню дату.
5. Показано повідомлення про помилку, що називає дату заїзду і обмеження (не раніше поточної дати).
6. Кількість карток така сама, як на кроці 2.
7. Вікно закрито, сесія завершена.</t>
  </si>
  <si>
    <t>TC-014</t>
  </si>
  <si>
    <t>Дата заїзду — сьогодні, виїзд — завтра (граничне значення): перелік оновлюється без повідомлень про помилку</t>
  </si>
  <si>
    <t>Chrome (поточна версія), нове вікно інкогніто, мова браузера en-US, без входу, ширина вікна не менше 1366 px. Сьогодні — дата прогону (зафіксувати в журналі)</t>
  </si>
  <si>
    <t>1. Відкрити https://automationintesting.online у Chrome (нове вікно інкогніто).
2. Натиснути пункт меню «Booking» і в полі «Check In» вибрати сьогоднішню дату.
3. У полі «Check Out» вибрати завтрашню дату.
4. Натиснути кнопку «Check Availability».
5. Закрити вікно інкогніто.</t>
  </si>
  <si>
    <t>1. Головна сторінка завантажилась без повідомлень про помилку.
2. У полі «Check In» показано сьогоднішню дату.
3. У полі «Check Out» показано завтрашню дату.
4. Повідомлень про помилку немає; список номерів оновлено.
5. Вікно закрито, сесія завершена.</t>
  </si>
  <si>
    <t>Сирота Володимир</t>
  </si>
  <si>
    <t>TC-015</t>
  </si>
  <si>
    <t>F-40; BL-70</t>
  </si>
  <si>
    <t>Номер BR-202 з бронюванням 2026-12-14…2026-12-16 не показується для інтервалу 2026-12-15…2026-12-17, що перетинається на одну ніч</t>
  </si>
  <si>
    <t>Chrome (поточна версія), нове вікно інкогніто, мова браузера en-US, без входу, ширина вікна не менше 1366 px. Номер BR-202 (Double, £149) має бронювання 2026-12-14…2026-12-16 (аркуш «Environment»)</t>
  </si>
  <si>
    <t>1. Відкрити https://automationintesting.online у Chrome (нове вікно інкогніто).
2. Натиснути пункт меню «Booking».
3. У полі «Check In» вибрати 15 грудня 2026, у полі «Check Out» — 17 грудня 2026.
4. Натиснути кнопку «Check Availability».
5. Закрити вікно інкогніто.</t>
  </si>
  <si>
    <t>1. Головна сторінка завантажилась без повідомлень про помилку.
2. У видимій частині вікна віджет доступності.
3. У полях показано обрані дати.
4. Список оновлено; картки з ціною «£149 per night» немає.
5. Вікно закрито, сесія завершена.</t>
  </si>
  <si>
    <t>TC-016</t>
  </si>
  <si>
    <t>Номер BR-202 показується для інтервалу 2026-12-16…2026-12-18, що починається у день виїзду попереднього гостя</t>
  </si>
  <si>
    <t>Chrome (поточна версія), нове вікно інкогніто, мова браузера en-US, без входу, ширина вікна не менше 1366 px. Номер BR-202 (Double, £149) має бронювання 2026-12-14…2026-12-16 (аркуш «Environment»)
BR-201/BR-202 — спеціально підготовлені тестові номери; їхні тарифи не є базовими тарифами публічного demo. Для перевірки очікувань потрібно забезпечити ці тестові дані.</t>
  </si>
  <si>
    <t>1. Відкрити https://automationintesting.online у Chrome (нове вікно інкогніто).
2. Натиснути пункт меню «Booking».
3. У полі «Check In» вибрати 16 грудня 2026, у полі «Check Out» — 18 грудня 2026.
4. Натиснути кнопку «Check Availability».
5. Закрити вікно інкогніто.</t>
  </si>
  <si>
    <t>1. Головна сторінка завантажилась без повідомлень про помилку.
2. У видимій частині вікна віджет доступності.
3. У полях показано обрані дати.
4. Список оновлено; картка з ціною «£149 per night» є.
5. Вікно закрито, сесія завершена.</t>
  </si>
  <si>
    <t>TC-017</t>
  </si>
  <si>
    <t>Перелік номерів оновлюється не довше ніж за 3 с після «Check Availability»</t>
  </si>
  <si>
    <t>Chrome (поточна версія), нове вікно інкогніто, мова браузера en-US, без входу, ширина вікна не менше 1366 px. Відкриті DevTools (F12), вкладка Network, увімкнено Disable cache</t>
  </si>
  <si>
    <t>1. Відкрити https://automationintesting.online у Chrome (нове вікно інкогніто).
2. Натиснути пункт меню «Booking»; у полі «Check In» вибрати 21 грудня 2026, у полі «Check Out» — 24 грудня 2026.
3. У DevTools на вкладці Network натиснути «Clear»; натиснути кнопку «Check Availability» і запустити секундомір.
4. Записати час запиту доступності в колонці Time (Network) і час за секундоміром до оновлення списку.
5. Закрити вікно інкогніто.</t>
  </si>
  <si>
    <t>1. Головна сторінка завантажилась без повідомлень про помилку.
2. У полях показано обрані дати.
3. Список номерів оновлено.
4. Обидва значення не перевищують 3 с (3000 мс).
5. Вікно закрито, сесія завершена.</t>
  </si>
  <si>
    <t>TC-018</t>
  </si>
  <si>
    <t>Сторінка номера BR-202 містить тип, позначку «Accessible», «Max N Guests», опис, зручності, правила, календар і «Price Summary»</t>
  </si>
  <si>
    <t>Chrome (поточна версія), нове вікно інкогніто, мова браузера en-US, без входу, ширина вікна не менше 1366 px. Номер BR-202 (Double, £149, Accessible, зручності WiFi, TV, Safe) вільний на 2026-12-21…2026-12-24</t>
  </si>
  <si>
    <t>1. Відкрити https://automationintesting.online у Chrome (нове вікно інкогніто).
2. Натиснути пункт меню «Booking»; у полі «Check In» вибрати 21 грудня 2026, у полі «Check Out» — 24 грудня 2026; натиснути «Check Availability».
3. У картці з ціною «£149 per night» натиснути «Book now».
4. Переглянути верхню частину сторінки.
5. Переглянути описову частину сторінки.
6. Переглянути правила номера.
7. Переглянути календар.
8. Переглянути блок «Price Summary».
9. Закрити вікно інкогніто.</t>
  </si>
  <si>
    <t>1. Головна сторінка завантажилась без повідомлень про помилку.
2. Список оновлено; є картка «£149 per night».
3. Відкрито сторінку номера.
4. Показано тип «Double», позначку «Accessible» і текст «Max N Guests», де N — число.
5. Є опис номера і перелік зручностей, що містить WiFi, TV, Safe.
6. Вказано заїзд з 3:00 PM до 8:00 PM і виїзд до 11:00 AM.
7. У календарі виділено інтервал 21–24 грудня 2026.
8. Блок «Price Summary» присутній.
9. Вікно закрито, сесія завершена.</t>
  </si>
  <si>
    <t>F-50; GUI-50</t>
  </si>
  <si>
    <t>«Price Summary» для номера BR-201 (£137) на 3 ночі: «£137 x 3 nights» = £411, «Cleaning fee» £25, «Service fee» £15, «Total» £451</t>
  </si>
  <si>
    <t>Chrome (поточна версія), нове вікно інкогніто, мова браузера en-US, без входу, ширина вікна не менше 1366 px. Номер BR-201 (Single, £137) вільний на 2026-12-21…2026-12-24</t>
  </si>
  <si>
    <t>1. Відкрити https://automationintesting.online у Chrome (нове вікно інкогніто).
2. Натиснути пункт меню «Booking»; у полі «Check In» вибрати 21 грудня 2026, у полі «Check Out» — 24 грудня 2026; натиснути «Check Availability».
3. У картці з ціною «£137 per night» натиснути «Book now».
4. Переглянути блок «Price Summary».
5. Переглянути накреслення рядка «Total».
6. Закрити вікно інкогніто.</t>
  </si>
  <si>
    <t>1. Головна сторінка завантажилась без повідомлень про помилку.
2. Список оновлено; є картка «£137 per night».
3. Відкрито сторінку номера.
4. Рядок «£137 x 3 nights» із сумою £411; «Cleaning fee» £25; «Service fee» £15; «Total» £451 (411 + 25 + 15).
5. Рядок «Total» набрано напівжирним шрифтом.
6. Вікно закрито, сесія завершена.</t>
  </si>
  <si>
    <t>TC-020</t>
  </si>
  <si>
    <t>F-60; GUI-40</t>
  </si>
  <si>
    <t>Бронювання номера BR-203 (£151) на 2026-12-28…2026-12-30 з коректними даними гостя завершується сторінкою «Booking Confirmed»</t>
  </si>
  <si>
    <t>Chrome (поточна версія), нове вікно інкогніто, мова браузера en-US, без входу, ширина вікна не менше 1366 px. Номер BR-203 (Suite, £151) вільний на 2026-12-28…2026-12-30; для повторного прогону дати змінюють і фіксують у журналі</t>
  </si>
  <si>
    <t>1. Відкрити https://automationintesting.online у Chrome (нове вікно інкогніто).
2. Натиснути пункт меню «Booking»; у полі «Check In» вибрати 28 грудня 2026, у полі «Check Out» — 30 грудня 2026; натиснути «Check Availability».
3. У картці з ціною «£151 per night» натиснути «Book now».
4. Натиснути кнопку «Reserve Now».
5. Заповнити поля: «Firstname» — Ivan, «Lastname» — Testenko, «Email» — ivan.testenko@example.com, «Phone» — 01234567890.
6. Натиснути кнопку «Reserve Now».
7. Закрити вікно інкогніто.</t>
  </si>
  <si>
    <t>1. Головна сторінка завантажилась без повідомлень про помилку.
2. Список оновлено; є картка «£151 per night».
3. Відкрито сторінку номера.
4. Показано форму бронювання з полями «Firstname», «Lastname», «Email», «Phone» і кнопками «Reserve Now», «Cancel».
5. Усі чотири поля заповнені; повідомлень про помилку немає.
6. Показано заголовок «Booking Confirmed» і дати заїзду та виїзду 2026-12-28 і 2026-12-30.
7. Вікно закрито, сесія завершена.</t>
  </si>
  <si>
    <t>TC-021</t>
  </si>
  <si>
    <t>Форма бронювання містить чотири поля з підказками; кнопка «Cancel» приховує форму без збереження даних</t>
  </si>
  <si>
    <t>Chrome (поточна версія), нове вікно інкогніто, мова браузера en-US, без входу, ширина вікна не менше 1366 px. Номер BR-204 (Family, £163) вільний на 2026-12-21…2026-12-24</t>
  </si>
  <si>
    <t>1. Відкрити https://automationintesting.online у Chrome (нове вікно інкогніто).
2. Натиснути пункт меню «Booking»; у полі «Check In» вибрати 21 грудня 2026, у полі «Check Out» — 24 грудня 2026; натиснути «Check Availability».
3. У картці з ціною «£163 per night» натиснути «Book now», потім «Reserve Now».
4. У поле «Firstname» ввести Ivan.
5. Натиснути кнопку «Cancel».
6. Натиснути кнопку «Reserve Now».
7. Закрити вікно інкогніто.</t>
  </si>
  <si>
    <t>1. Головна сторінка завантажилась без повідомлень про помилку.
2. Список оновлено; є картка «£163 per night».
3. Показано форму з підказками «Firstname», «Lastname», «Email», «Phone» і кнопками «Reserve Now», «Cancel».
4. У полі показано Ivan.
5. Форму приховано.
6. Форму показано знову; поле «Firstname» порожнє, видно підказку «Firstname».
7. Вікно закрито, сесія завершена.</t>
  </si>
  <si>
    <t>GUI-80; F-60; GUI-60; U-20</t>
  </si>
  <si>
    <t>Кнопка «Reserve Now» активна при порожніх полях; натискання показує перелік помилок над кнопкою, бронювання не зберігається</t>
  </si>
  <si>
    <t>1. Відкрити https://automationintesting.online у Chrome (нове вікно інкогніто).
2. Натиснути пункт меню «Booking»; у полі «Check In» вибрати 21 грудня 2026, у полі «Check Out» — 24 грудня 2026; натиснути «Check Availability».
3. У картці з ціною «£163 per night» натиснути «Book now», потім «Reserve Now».
4. Переглянути кнопку «Reserve Now» у формі.
5. Натиснути кнопку «Reserve Now» у формі.
6. Закрити вікно інкогніто.</t>
  </si>
  <si>
    <t>1. Головна сторінка завантажилась без повідомлень про помилку.
2. Список оновлено; є картка «£163 per night».
3. Показано форму з порожніми полями.
4. Кнопка активна (не затемнена, на неї можна навести курсор і натиснути).
5. Над кнопкою показано перелік помилок; кожне повідомлення називає поле і порушене обмеження, не довше 100 символів, без технічних кодів; заголовка «Booking Confirmed» немає.
6. Вікно закрито, сесія завершена.</t>
  </si>
  <si>
    <t>TC-023</t>
  </si>
  <si>
    <t>F-60; GUI-60</t>
  </si>
  <si>
    <t>Бронювання з email без символу «@» (ivan.testenko.example.com) не зберігається, над кнопкою показано помилку для поля «Email»</t>
  </si>
  <si>
    <t>1. Відкрити https://automationintesting.online у Chrome (нове вікно інкогніто).
2. Натиснути пункт меню «Booking»; у полі «Check In» вибрати 21 грудня 2026, у полі «Check Out» — 24 грудня 2026; натиснути «Check Availability».
3. У картці з ціною «£163 per night» натиснути «Book now», потім «Reserve Now».
4. Заповнити поля: «Firstname» — Ivan, «Lastname» — Testenko, «Email» — ivan.testenko.example.com, «Phone» — 01234567890.
5. Натиснути кнопку «Reserve Now» у формі.
6. Закрити вікно інкогніто.</t>
  </si>
  <si>
    <t>1. Головна сторінка завантажилась без повідомлень про помилку.
2. Список оновлено; є картка «£163 per night».
3. Показано форму бронювання.
4. Усі чотири поля заповнені.
5. Над кнопкою показано помилку, що називає поле «Email»; заголовка «Booking Confirmed» немає.
6. Вікно закрито, сесія завершена.</t>
  </si>
  <si>
    <t>F-70; GUI-85</t>
  </si>
  <si>
    <t>Контактна форма з типовими коректними даними: повідомлення надіслано, показано подяку з іменем і темою</t>
  </si>
  <si>
    <t>1. Відкрити https://automationintesting.online у Chrome (нове вікно інкогніто).
2. Натиснути пункт меню «Contact».
3. У поле «Name» ввести Ostap Test.
4. У поле «Email» ввести ostap.test@example.com.
5. У поле «Phone» ввести 01234567890.
6. У поле «Subject» ввести BR question 01.
7. У поле «Message» ввести Question about booking: do you have a room for three nights in December?.
8. Натиснути кнопку «Submit».
9. Закрити вікно інкогніто.</t>
  </si>
  <si>
    <t>1. Головна сторінка завантажилась без повідомлень про помилку.
2. У видимій частині вікна розділ «Send Us a Message» з полями «Name», «Email», «Phone», «Subject», багаторядковим полем «Message» і кнопкою «Submit».
3. У полі показано введене значення.
4. У полі показано введене значення.
5. У полі показано введене значення.
6. У полі показано введене значення.
7. У полі показано введене значення.
8. Форму «Send Us a Message» замінено текстом подяки, що містить ім'я «Ostap Test» і тему; повідомлення про помилку немає.
9. Вікно закрито, сесія завершена.</t>
  </si>
  <si>
    <t>TC-025</t>
  </si>
  <si>
    <t>Контактна форма з мінімальними допустимими довжинами: «Subject» 5, «Message» 20, «Phone» 11 символів (нижня межа)</t>
  </si>
  <si>
    <t>Chrome (поточна версія), нове вікно інкогніто, мова браузера en-US, без входу, ширина вікна не менше 1366 px; значення з аркуша «Data»</t>
  </si>
  <si>
    <t>1. Відкрити https://automationintesting.online у Chrome (нове вікно інкогніто).
2. Натиснути пункт меню «Contact».
3. У поле «Name» ввести Ostap Test.
4. У поле «Email» ввести ostap.test@example.com.
5. У поле «Phone» ввести 01234567890 (D-PH-11).
6. У поле «Subject» ввести Abcde (D-SUBJ-5).
7. У поле «Message» ввести значення D-MSG-20 з аркуша «Data» (20 символів).
8. Натиснути кнопку «Submit».
9. Закрити вікно інкогніто.</t>
  </si>
  <si>
    <t>1. Головна сторінка завантажилась без повідомлень про помилку.
2. У видимій частині вікна розділ «Send Us a Message».
3. У полі показано введене значення.
4. У полі показано введене значення.
5. У полі показано введене значення.
6. У полі показано введене значення.
7. У полі показано введене значення.
8. Форму замінено текстом подяки, що містить ім'я «Ostap Test»; повідомлень про помилку немає.
9. Вікно закрито, сесія завершена.</t>
  </si>
  <si>
    <t>TC-026</t>
  </si>
  <si>
    <t>Контактна форма з максимальними допустимими довжинами: «Subject» 100, «Message» 2000, «Phone» 21 символ (верхня межа)</t>
  </si>
  <si>
    <t>1. Відкрити https://automationintesting.online у Chrome (нове вікно інкогніто).
2. Натиснути пункт меню «Contact».
3. У поле «Name» ввести Ostap Test.
4. У поле «Email» ввести ostap.test@example.com.
5. У поле «Phone» ввести 012345678901234567890 (D-PH-21).
6. У поле «Subject» ввести значення D-SUBJ-100 з аркуша «Data» (100 символів).
7. У поле «Message» ввести значення D-MSG-2000 з аркуша «Data» (2000 символів).
8. Натиснути кнопку «Submit».
9. Закрити вікно інкогніто.</t>
  </si>
  <si>
    <t>BUG-005 (Run 1; retest passed)</t>
  </si>
  <si>
    <t>TC-027</t>
  </si>
  <si>
    <t>F-70; GUI-60; U-20</t>
  </si>
  <si>
    <t>Контактна форма з порожніми полями не надсилається, над кнопкою «Submit» показано перелік помилок</t>
  </si>
  <si>
    <t>1. Відкрити https://automationintesting.online у Chrome (нове вікно інкогніто).
2. Натиснути пункт меню «Contact».
3. Натиснути кнопку «Submit», не заповнюючи жодного поля.
4. Закрити вікно інкогніто.</t>
  </si>
  <si>
    <t>1. Головна сторінка завантажилась без повідомлень про помилку.
2. У видимій частині вікна розділ «Send Us a Message».
3. Текст подяки не показано; над кнопкою «Submit» показано перелік помилок, що називає поля «Name», «Email», «Phone», «Subject», «Message»; кожне повідомлення не довше 100 символів і без технічних кодів.
4. Вікно закрито, сесія завершена.</t>
  </si>
  <si>
    <t>TC-028</t>
  </si>
  <si>
    <t>F-70; GUI-60</t>
  </si>
  <si>
    <t>Контактна форма з «Subject» 4 символи (нижня межа мінус 1) не надсилається</t>
  </si>
  <si>
    <t>1. Відкрити https://automationintesting.online у Chrome (нове вікно інкогніто).
2. Натиснути пункт меню «Contact».
3. У поле «Name» ввести Ostap Test.
4. У поле «Email» ввести ostap.test@example.com.
5. У поле «Phone» ввести 01234567890.
6. У поле «Subject» ввести Abcd (D-SUBJ-4).
7. У поле «Message» ввести значення D-MSG-20 з аркуша «Data» (20 символів).
8. Натиснути кнопку «Submit».
9. Закрити вікно інкогніто.</t>
  </si>
  <si>
    <t>1. Головна сторінка завантажилась без повідомлень про помилку.
2. У видимій частині вікна розділ «Send Us a Message».
3. У полі показано введене значення.
4. У полі показано введене значення.
5. У полі показано введене значення.
6. У полі показано введене значення.
7. У полі показано введене значення.
8. Текст подяки не показано; над кнопкою «Submit» показано перелік помилок; є повідомлення, що називає поле «Subject» і порушене обмеження; кожне повідомлення не довше 100 символів і не містить технічних кодів (обмеження: від 5 до 100 символів).
9. Вікно закрито, сесія завершена.</t>
  </si>
  <si>
    <t>TC-029</t>
  </si>
  <si>
    <t>Контактна форма з «Subject» 101 символ (верхня межа плюс 1) не надсилається</t>
  </si>
  <si>
    <t>1. Відкрити https://automationintesting.online у Chrome (нове вікно інкогніто).
2. Натиснути пункт меню «Contact».
3. У поле «Name» ввести Ostap Test.
4. У поле «Email» ввести ostap.test@example.com.
5. У поле «Phone» ввести 01234567890.
6. У поле «Subject» ввести значення D-SUBJ-101 з аркуша «Data» (101 символ).
7. У поле «Message» ввести значення D-MSG-20 з аркуша «Data» (20 символів).
8. Натиснути кнопку «Submit».
9. Закрити вікно інкогніто.</t>
  </si>
  <si>
    <t>TC-030</t>
  </si>
  <si>
    <t>Контактна форма з «Message» 19 символів (нижня межа мінус 1) не надсилається</t>
  </si>
  <si>
    <t>1. Відкрити https://automationintesting.online у Chrome (нове вікно інкогніто).
2. Натиснути пункт меню «Contact».
3. У поле «Name» ввести Ostap Test.
4. У поле «Email» ввести ostap.test@example.com.
5. У поле «Phone» ввести 01234567890.
6. У поле «Subject» ввести BR question 01.
7. У поле «Message» ввести значення D-MSG-19 з аркуша «Data» (19 символів).
8. Натиснути кнопку «Submit».
9. Закрити вікно інкогніто.</t>
  </si>
  <si>
    <t>1. Головна сторінка завантажилась без повідомлень про помилку.
2. У видимій частині вікна розділ «Send Us a Message».
3. У полі показано введене значення.
4. У полі показано введене значення.
5. У полі показано введене значення.
6. У полі показано введене значення.
7. У полі показано введене значення.
8. Текст подяки не показано; над кнопкою «Submit» показано перелік помилок; є повідомлення, що називає поле «Message» і порушене обмеження; кожне повідомлення не довше 100 символів і не містить технічних кодів (обмеження: від 20 до 2000 символів).
9. Вікно закрито, сесія завершена.</t>
  </si>
  <si>
    <t>TC-031</t>
  </si>
  <si>
    <t>Контактна форма з «Message» 2001 символ (верхня межа плюс 1) не надсилається</t>
  </si>
  <si>
    <t>1. Відкрити https://automationintesting.online у Chrome (нове вікно інкогніто).
2. Натиснути пункт меню «Contact».
3. У поле «Name» ввести Ostap Test.
4. У поле «Email» ввести ostap.test@example.com.
5. У поле «Phone» ввести 01234567890.
6. У поле «Subject» ввести BR question 01.
7. У поле «Message» ввести значення D-MSG-2001 з аркуша «Data» (2001 символ).
8. Натиснути кнопку «Submit».
9. Закрити вікно інкогніто.</t>
  </si>
  <si>
    <t>TC-032</t>
  </si>
  <si>
    <t>Контактна форма з «Phone» 10 символів (нижня межа мінус 1) не надсилається</t>
  </si>
  <si>
    <t>1. Відкрити https://automationintesting.online у Chrome (нове вікно інкогніто).
2. Натиснути пункт меню «Contact».
3. У поле «Name» ввести Ostap Test.
4. У поле «Email» ввести ostap.test@example.com.
5. У поле «Phone» ввести 0123456789 (D-PH-10).
6. У поле «Subject» ввести BR question 01.
7. У поле «Message» ввести значення D-MSG-20 з аркуша «Data» (20 символів).
8. Натиснути кнопку «Submit».
9. Закрити вікно інкогніто.</t>
  </si>
  <si>
    <t>1. Головна сторінка завантажилась без повідомлень про помилку.
2. У видимій частині вікна розділ «Send Us a Message».
3. У полі показано введене значення.
4. У полі показано введене значення.
5. У полі показано введене значення.
6. У полі показано введене значення.
7. У полі показано введене значення.
8. Текст подяки не показано; над кнопкою «Submit» показано перелік помилок; є повідомлення, що називає поле «Phone» і порушене обмеження; кожне повідомлення не довше 100 символів і не містить технічних кодів (обмеження: від 11 до 21 символу).
9. Вікно закрито, сесія завершена.</t>
  </si>
  <si>
    <t>TC-033</t>
  </si>
  <si>
    <t>Контактна форма з «Phone» 22 символи (верхня межа плюс 1) не надсилається</t>
  </si>
  <si>
    <t>1. Відкрити https://automationintesting.online у Chrome (нове вікно інкогніто).
2. Натиснути пункт меню «Contact».
3. У поле «Name» ввести Ostap Test.
4. У поле «Email» ввести ostap.test@example.com.
5. У поле «Phone» ввести 0123456789012345678901 (D-PH-22).
6. У поле «Subject» ввести BR question 01.
7. У поле «Message» ввести значення D-MSG-20 з аркуша «Data» (20 символів).
8. Натиснути кнопку «Submit».
9. Закрити вікно інкогніто.</t>
  </si>
  <si>
    <t>TC-034</t>
  </si>
  <si>
    <t>F-80; S-10</t>
  </si>
  <si>
    <t>Вхід адміністратора з обліковим записом admin / password відкриває розділ керування номерами; облікові дані не потрапляють в адресу</t>
  </si>
  <si>
    <t>Chrome (поточна версія), нове вікно інкогніто, мова браузера en-US; обліковий запис адміністратора admin / password</t>
  </si>
  <si>
    <t>1. Відкрити https://automationintesting.online/admin у Chrome (нове вікно інкогніто).
2. У поле «Username» ввести admin.
3. У поле «Password» ввести password.
4. Натиснути кнопку «Login».
5. Переглянути адресний рядок браузера.
6. Натиснути кнопку «Logout» у шапці адмінпанелі.
7. Закрити вікно інкогніто.</t>
  </si>
  <si>
    <t>1. Сторінка входу із заголовком «Login».
2. У полі показано admin.
3. Значення замасковано.
4. Відкрито розділ керування номерами зі списком номерів.
5. Адреса не містить слів admin і password як параметрів (облікові дані не передаються в URL).
6. Відкрито сторінку входу із заголовком «Login».
7. Вікно закрито, сесія завершена.</t>
  </si>
  <si>
    <t>TC-035</t>
  </si>
  <si>
    <t>F-80; GUI-70</t>
  </si>
  <si>
    <t>Вхід з неправильним паролем wrongpass: система залишається на сторінці входу і не надає доступу</t>
  </si>
  <si>
    <t>1. Відкрити https://automationintesting.online/admin у Chrome (нове вікно інкогніто).
2. У поле «Username» ввести admin.
3. У поле «Password» ввести wrongpass.
4. Натиснути кнопку «Login».
5. Закрити вікно інкогніто.</t>
  </si>
  <si>
    <t>1. Сторінка входу із заголовком «Login».
2. У полі показано admin.
3. Значення замасковано.
4. Відкрита сторінка входу; розділу керування номерами немає; поля форми входу позначені як помилкові (GUI-70).
5. Вікно закрито, сесія завершена.</t>
  </si>
  <si>
    <t>TC-036</t>
  </si>
  <si>
    <t>Сторінка входу містить заголовок, підписи, підказки, замасковане поле пароля, кнопку «Login» і шапку з «Front Page» та «Logout»</t>
  </si>
  <si>
    <t>1. Відкрити https://automationintesting.online/admin у Chrome (нове вікно інкогніто).
2. Переглянути заголовок сторінки.
3. Переглянути поле імені.
4. Переглянути поле пароля; ввести p1.
5. Переглянути кнопку входу.
6. Переглянути шапку.
7. Закрити вікно інкогніто.</t>
  </si>
  <si>
    <t>1. Сторінка входу.
2. Заголовок «Login».
3. Підпис «Username»; у порожньому полі підказка «Enter username».
4. Підпис «Password»; підказка «Password»; введені символи показано крапками, а не відкритим текстом.
5. Є кнопка «Login».
6. У шапці посилання «Front Page» і кнопка «Logout».
7. Вікно закрито, сесія завершена.</t>
  </si>
  <si>
    <t>TC-037</t>
  </si>
  <si>
    <t>«Logout» повертає на сторінку входу; після натискання «Назад» у браузері адмінпанель недоступна</t>
  </si>
  <si>
    <t>1. Відкрити https://automationintesting.online/admin у Chrome (нове вікно інкогніто).
2. У поле «Username» ввести admin.
3. У поле «Password» ввести password.
4. Натиснути кнопку «Login».
5. Натиснути кнопку «Logout» у шапці адмінпанелі.
6. Натиснути кнопку «Назад» у браузері.
7. Закрити вікно інкогніто.</t>
  </si>
  <si>
    <t>1. Сторінка входу із заголовком «Login».
2. У полі показано admin.
3. Значення замасковано.
4. Відкрито розділ керування номерами зі списком номерів.
5. Відкрито сторінку входу із заголовком «Login».
6. Відкрита сторінка входу із заголовком «Login»; даних адмінпанелі (списку номерів) немає.
7. Вікно закрито, сесія завершена.</t>
  </si>
  <si>
    <t>BUG-006 (F-85)</t>
  </si>
  <si>
    <t>TC-038</t>
  </si>
  <si>
    <t>F-85; S-10</t>
  </si>
  <si>
    <t>Прямий перехід за адресою розділу адмінпанелі після «Logout» відкриває сторінку входу</t>
  </si>
  <si>
    <t>1. Відкрити https://automationintesting.online/admin у Chrome (нове вікно інкогніто).
2. У поле «Username» ввести admin.
3. У поле «Password» ввести password.
4. Натиснути кнопку «Login».
5. Відкрити в адмінпанелі розділ повідомлень («Messages»), скопіювати його адресу з рядка браузера.
6. Натиснути кнопку «Logout» у шапці адмінпанелі.
7. Закрити вікно інкогніто, відкрити нове вікно інкогніто і вставити скопійовану адресу в адресний рядок.
8. Закрити вікно інкогніто.
Повторна перевірка 29.10.2026: відкрити НОВЕ вікно Incognito без входу; вставити https://automationintesting.online/admin/message; перевірити, чи доступні повідомлення.</t>
  </si>
  <si>
    <t>1. Сторінка входу із заголовком «Login».
2. У полі показано admin.
3. Значення замасковано.
4. Відкрито розділ керування номерами зі списком номерів.
5. Адресу скопійовано.
6. Відкрито сторінку входу із заголовком «Login».
7. Відкрито сторінку входу із заголовком «Login»; списку повідомлень немає.
8. Вікно закрито, сесія завершена.</t>
  </si>
  <si>
    <t>BUG-007</t>
  </si>
  <si>
    <t>TC-039</t>
  </si>
  <si>
    <t>Створення номера BR-901 (Double, Accessible, £175, WiFi і TV): номер з'являється в адмінпанелі та в «Our Rooms»</t>
  </si>
  <si>
    <t>Chrome (поточна версія), нове вікно інкогніто, мова браузера en-US; обліковий запис адміністратора admin / password; номера з назвою BR-901 немає</t>
  </si>
  <si>
    <t>1. Відкрити https://automationintesting.online/admin у Chrome (нове вікно інкогніто).
2. У поле «Username» ввести admin.
3. У поле «Password» ввести password.
4. Натиснути кнопку «Login».
5. У формі створення номера в поле номера/назви ввести BR-901.
6. Вибрати тип «Double»; для ознаки «Accessible» вибрати «true»; у поле ціни ввести 175; позначити зручності WiFi і TV.
7. Натиснути кнопку «Create».
8. Натиснути посилання «Front Page» і в меню вибрати «Rooms».
9. Повернутися в адмінпанель за адресою https://automationintesting.online/admin і видалити номер BR-901 (очищення даних demo).
10. Натиснути кнопку «Logout» у шапці адмінпанелі.
11. Закрити вікно інкогніто.</t>
  </si>
  <si>
    <t>1. Сторінка входу із заголовком «Login».
2. У полі показано admin.
3. Значення замасковано.
4. Відкрито розділ керування номерами зі списком номерів.
5. У полі показано BR-901.
6. Значення встановлено.
7. Помилок немає; у списку номерів адмінпанелі є рядок BR-901 з типом Double, ціною 175, зручностями WiFi і TV.
8. У розділі «Our Rooms» є картка «Double» з ціною «£175 per night».
9. Рядка BR-901 у списку немає.
10. Відкрито сторінку входу із заголовком «Login».
11. Вікно закрито, сесія завершена.</t>
  </si>
  <si>
    <t>BUG-008 (retest passed)</t>
  </si>
  <si>
    <t>TC-040</t>
  </si>
  <si>
    <t>Видалення номера BR-205 (Twin, £127): номер зникає з адмінпанелі та з розділу «Our Rooms»</t>
  </si>
  <si>
    <t>Chrome (поточна версія), нове вікно інкогніто, мова браузера en-US; обліковий запис адміністратора admin / password. Номер BR-205 (Twin, £127) створено (аркуш «Environment»)</t>
  </si>
  <si>
    <t>1. Відкрити https://automationintesting.online/admin у Chrome (нове вікно інкогніто).
2. У поле «Username» ввести admin.
3. У поле «Password» ввести password.
4. Натиснути кнопку «Login».
5. У списку номерів знайти рядок BR-205.
6. Натиснути кнопку видалення в рядку BR-205.
7. Натиснути посилання «Front Page» і в меню вибрати «Rooms».
8. Закрити вікно інкогніто.
Повторна перевірка 29.10.2026: аналогічне невдале видалення створеного номера 104 (Twin, £127).</t>
  </si>
  <si>
    <t>1. Сторінка входу із заголовком «Login».
2. У полі показано admin.
3. Значення замасковано.
4. Відкрито розділ керування номерами зі списком номерів.
5. Рядок BR-205 є, тип Twin, ціна 127.
6. Рядка BR-205 у списку немає.
7. У розділі «Our Rooms» немає картки з ціною «£127 per night».
8. Вікно закрито, сесія завершена.</t>
  </si>
  <si>
    <t>BUG-009; BUG-008 — пов’язаний сценарій F-90 (поява в Our Rooms)</t>
  </si>
  <si>
    <t>TC-041</t>
  </si>
  <si>
    <t>F-90; GUI-60</t>
  </si>
  <si>
    <t>Створення номера з порожньою назвою не виконується, над кнопкою «Create» показано перелік помилок</t>
  </si>
  <si>
    <t>1. Відкрити https://automationintesting.online/admin у Chrome (нове вікно інкогніто).
2. У поле «Username» ввести admin.
3. У поле «Password» ввести password.
4. Натиснути кнопку «Login».
5. Записати кількість рядків у списку номерів.
6. Поле номера/назви залишити порожнім; у поле ціни ввести 100.
7. Натиснути кнопку «Create».
8. Натиснути кнопку «Logout» у шапці адмінпанелі.
9. Закрити вікно інкогніто.</t>
  </si>
  <si>
    <t>1. Сторінка входу із заголовком «Login».
2. У полі показано admin.
3. Значення замасковано.
4. Відкрито розділ керування номерами зі списком номерів.
5. Кількість записано.
6. Назва порожня, ціна 100.
7. Над кнопкою «Create» показано перелік помилок, що називає поле номера/назви; кількість рядків у списку не змінилась.
8. Відкрито сторінку входу із заголовком «Login».
9. Вікно закрито, сесія завершена.</t>
  </si>
  <si>
    <t>TC-042</t>
  </si>
  <si>
    <t>Створення номера BR-902 із ціною 0 (межа додатного числа) не виконується, над кнопкою «Create» показано помилку для поля ціни</t>
  </si>
  <si>
    <t>Chrome (поточна версія), нове вікно інкогніто, мова браузера en-US; обліковий запис адміністратора admin / password; номера BR-902 немає</t>
  </si>
  <si>
    <t>1. Відкрити https://automationintesting.online/admin у Chrome (нове вікно інкогніто).
2. У поле «Username» ввести admin.
3. У поле «Password» ввести password.
4. Натиснути кнопку «Login».
5. У поле номера/назви ввести BR-902; у поле ціни ввести 0.
6. Натиснути кнопку «Create».
7. Натиснути кнопку «Logout» у шапці адмінпанелі.
8. Закрити вікно інкогніто.</t>
  </si>
  <si>
    <t>1. Сторінка входу із заголовком «Login».
2. У полі показано admin.
3. Значення замасковано.
4. Відкрито розділ керування номерами зі списком номерів.
5. У полях показано BR-902 і 0.
6. Над кнопкою «Create» показано помилку, що називає поле ціни і вимогу додатного числа; рядка BR-902 у списку немає.
7. Відкрито сторінку входу із заголовком «Login».
8. Вікно закрито, сесія завершена.</t>
  </si>
  <si>
    <t>TC-043</t>
  </si>
  <si>
    <t>Розділ повідомлень: непрочитане повідомлення «BR message 001» від «BR Reader» позначене непрочитаним; після відкриття — прочитаним</t>
  </si>
  <si>
    <t>Chrome (поточна версія), нове вікно інкогніто, мова браузера en-US; обліковий запис адміністратора admin / password. Повідомлення «BR message 001» від «BR Reader» надіслано через форму і не відкривалось (аркуш «Environment»)</t>
  </si>
  <si>
    <t>1. Відкрити https://automationintesting.online/admin у Chrome (нове вікно інкогніто).
2. У поле «Username» ввести admin.
3. У поле «Password» ввести password.
4. Натиснути кнопку «Login».
5. Відкрити розділ повідомлень («Messages»).
6. Знайти рядок «BR Reader» / «BR message 001».
7. Відкрити повідомлення «BR message 001» для читання.
8. Закрити повідомлення і переглянути перелік.
9. Натиснути кнопку «Logout» у шапці адмінпанелі.
10. Закрити вікно інкогніто.</t>
  </si>
  <si>
    <t>1. Сторінка входу із заголовком «Login».
2. У полі показано admin.
3. Значення замасковано.
4. Відкрито розділ керування номерами зі списком номерів.
5. Показано перелік повідомлень із іменем відправника і темою.
6. Рядок знайдено; повідомлення позначене як непрочитане.
7. Показано повідомлення; видно ім'я відправника і тему.
8. Рядок «BR message 001» більше не позначений як непрочитаний.
9. Відкрито сторінку входу із заголовком «Login».
10. Вікно закрито, сесія завершена.</t>
  </si>
  <si>
    <t>TC-044</t>
  </si>
  <si>
    <t>Видалення повідомлення «BR message 002» зі списку</t>
  </si>
  <si>
    <t>Chrome (поточна версія), нове вікно інкогніто, мова браузера en-US; обліковий запис адміністратора admin / password. Повідомлення «BR message 002» від «BR Reader» надіслано через форму (аркуш «Environment»)</t>
  </si>
  <si>
    <t>1. Відкрити https://automationintesting.online/admin у Chrome (нове вікно інкогніто).
2. У поле «Username» ввести admin.
3. У поле «Password» ввести password.
4. Натиснути кнопку «Login».
5. Відкрити розділ повідомлень («Messages») і знайти рядок «BR message 002».
6. Видалити повідомлення «BR message 002».
7. Оновити сторінку клавішею F5.
8. Натиснути кнопку «Logout» у шапці адмінпанелі.
9. Закрити вікно інкогніто.</t>
  </si>
  <si>
    <t>1. Сторінка входу із заголовком «Login».
2. У полі показано admin.
3. Значення замасковано.
4. Відкрито розділ керування номерами зі списком номерів.
5. Рядок є.
6. Рядка «BR message 002» у списку немає.
7. Після оновлення рядка «BR message 002» у списку немає.
8. Відкрито сторінку входу із заголовком «Login».
9. Вікно закрито, сесія завершена.</t>
  </si>
  <si>
    <t>Звіт за майбутній період (грудень 2026) формується за підтвердженими бронюваннями і позначений «прогноз»</t>
  </si>
  <si>
    <t>Chrome (поточна версія), нове вікно інкогніто, мова браузера en-US; обліковий запис адміністратора admin / password. Номер BR-202 має бронювання 2026-12-14…2026-12-16 (аркуш «Environment»)</t>
  </si>
  <si>
    <t>1. Відкрити https://automationintesting.online/admin у Chrome (нове вікно інкогніто).
2. У поле «Username» ввести admin.
3. У поле «Password» ввести password.
4. Натиснути кнопку «Login».
5. Відкрити розділ звіту («Report»).
6. Перейти у звіті на грудень 2026.
7. Знайти бронювання номера BR-202 14–16 грудня 2026.
8. Переглянути позначки звіту.
9. Натиснути кнопку «Logout» у шапці адмінпанелі.
10. Закрити вікно інкогніто.</t>
  </si>
  <si>
    <t>1. Сторінка входу із заголовком «Login».
2. У полі показано admin.
3. Значення замасковано.
4. Відкрито розділ керування номерами зі списком номерів.
5. Показано звіт за поточний місяць.
6. Показано звіт за грудень 2026.
7. Бронювання відображено.
8. Звіт позначено «прогноз».
9. Відкрито сторінку входу із заголовком «Login».
10. Вікно закрито, сесія завершена.</t>
  </si>
  <si>
    <t>Low</t>
  </si>
  <si>
    <t>F-130; S-20</t>
  </si>
  <si>
    <t>Сесія адміністратора завершується після 30 хвилин без дій: наступна дія повертає на сторінку входу</t>
  </si>
  <si>
    <t>1. Відкрити https://automationintesting.online/admin у Chrome (нове вікно інкогніто).
2. У поле «Username» ввести admin.
3. У поле «Password» ввести password.
4. Натиснути кнопку «Login».
5. Не виконувати жодних дій у вкладці 30 хвилин (секундомір).
6. Натиснути розділ «Messages» в адмінпанелі.
7. Закрити вікно інкогніто.</t>
  </si>
  <si>
    <t>1. Сторінка входу із заголовком «Login».
2. У полі показано admin.
3. Значення замасковано.
4. Відкрито розділ керування номерами зі списком номерів.
5. Минуло 30 хвилин.
6. Відкрито сторінку входу із заголовком «Login»; даних адмінпанелі немає.
7. Вікно закрито, сесія завершена.</t>
  </si>
  <si>
    <t>Сторінка зі списком номерів завантажується не довше ніж за 3 с на з'єднанні 4G (10 Мбіт/с)</t>
  </si>
  <si>
    <t>Chrome, нове вікно інкогніто; DevTools → Network: Disable cache, власний профіль обмеження Download 10 Мбіт/с (10240 kb/s), Latency 40 мс; без входу</t>
  </si>
  <si>
    <t>1. Відкрити DevTools, вкладку Network; вибрати профіль обмеження.
2. Ввести https://automationintesting.online в адресний рядок і натиснути Enter; дочекатися завершення завантаження.
3. Прочитати значення «Load» у підсумку Network (повторити тричі, взяти найбільше).
4. Закрити вікно інкогніто.</t>
  </si>
  <si>
    <t>1. Профіль активний.
2. Сторінку завантажено; в рядку підсумку Network показано значення «Load».
3. Значення «Load» не перевищує 3 с.
4. Вікно закрито, сесія завершена.</t>
  </si>
  <si>
    <t>TC-048</t>
  </si>
  <si>
    <t>Гостьова частина у Chrome на ширині 375 px: елементи не перекриваються, основні функції доступні</t>
  </si>
  <si>
    <t>Chrome (поточна версія), нове приватне вікно; DevTools → Toggle device toolbar, режим Responsive, розмір 375 × 667; без входу</t>
  </si>
  <si>
    <t>1. Відкрити https://automationintesting.online.
2. Переглянути верхню частину сторінки.
3. Натиснути кнопку «Book Now».
4. Прокрутити сторінку до розділів «Our Rooms» і «Send Us a Message».
5. Натиснути «Book now» у першій картці номера.
6. Закрити приватне вікно.</t>
  </si>
  <si>
    <t>1. Головна сторінка завантажилась без повідомлень про помилку.
2. Назва готелю, кнопка «Book Now» і меню видимі; елементи не перекривають один одного.
3. Видно віджет доступності; поля «Check In», «Check Out» і кнопка «Check Availability» не перекриваються.
4. Картки номерів, поля форми і кнопки «Book now», «Submit» не перекриваються, текст читається.
5. Відкрито сторінку номера; «Price Summary» і кнопка «Reserve Now» доступні.
6. Вікно закрито.</t>
  </si>
  <si>
    <t>TC-049</t>
  </si>
  <si>
    <t>Гостьова частина у Firefox на ширині 375 px: елементи не перекриваються, основні функції доступні</t>
  </si>
  <si>
    <t>Firefox (поточна версія), нове приватне вікно; Responsive Design Mode (Ctrl+Shift+M), розмір 375 × 667; без входу</t>
  </si>
  <si>
    <t>Звірено з F-10: назва, опис, меню та кнопка Book Now визначені коректно.</t>
  </si>
  <si>
    <t>так — документальне зауваження опрацьовано</t>
  </si>
  <si>
    <t>Звірено з F-10: переходи меню до відповідних розділів описано; критерій — відображення цільового розділу.</t>
  </si>
  <si>
    <t>Звірено з SRS 1.1 (F-10). Поля тест-кейсу, кроки й очікуваний результат перевірено на відповідність заявленій вимозі.</t>
  </si>
  <si>
    <t>Звірено з SRS 1.1 (GUI-10). Поля тест-кейсу, кроки й очікуваний результат перевірено на відповідність заявленій вимозі.</t>
  </si>
  <si>
    <t>Звірено з F-20 і GUI-30. BR-201 (£137) — окремі тестові дані; наявність цієї картки не гарантується початковим набором demo. BUG-001 (£149/£150) не доводить результат саме TC-006.</t>
  </si>
  <si>
    <t>частково — залежить від тестових даних/середовища</t>
  </si>
  <si>
    <t>Звірено з SRS 1.1 (F-20). Поля тест-кейсу, кроки й очікуваний результат перевірено на відповідність заявленій вимозі.</t>
  </si>
  <si>
    <t>Звірено з SRS 1.1 (GUI-20). Поля тест-кейсу, кроки й очікуваний результат перевірено на відповідність заявленій вимозі.</t>
  </si>
  <si>
    <t>Звірено з F-30. BR-201 (£137) і BR-202 (£149) — підготовлені тестові дані для сценарію доступності; поточні ціни публічного demo £100/£150/£225 не тотожні цим даним.</t>
  </si>
  <si>
    <t>Звірено з SRS 1.1 (F-30; GUI-60). Поля тест-кейсу, кроки й очікуваний результат перевірено на відповідність заявленій вимозі.</t>
  </si>
  <si>
    <t>Звірено з SRS 1.1 (F-30). Поля тест-кейсу, кроки й очікуваний результат перевірено на відповідність заявленій вимозі.</t>
  </si>
  <si>
    <t>Звірено з SRS 1.1 (F-40; BL-70). Поля тест-кейсу, кроки й очікуваний результат перевірено на відповідність заявленій вимозі.</t>
  </si>
  <si>
    <t>Звірено з F-40 та BL-70. Очікування BR-202 (£149) умовне за наявності підготовлених тестових даних; фактична відсутність картки зафіксована, але не доводить порушення F-40 без підтвердження підготовки BR-202.</t>
  </si>
  <si>
    <t>Звірено з SRS 1.1 (F-40). Поля тест-кейсу, кроки й очікуваний результат перевірено на відповідність заявленій вимозі.</t>
  </si>
  <si>
    <t>Звірено з SRS 1.1 (F-50). Поля тест-кейсу, кроки й очікуваний результат перевірено на відповідність заявленій вимозі.</t>
  </si>
  <si>
    <t>Звірено з SRS 1.1 (F-50; GUI-50). Поля тест-кейсу, кроки й очікуваний результат перевірено на відповідність заявленій вимозі.</t>
  </si>
  <si>
    <t>Звірено з SRS 1.1 (F-60; GUI-40). Поля тест-кейсу, кроки й очікуваний результат перевірено на відповідність заявленій вимозі.</t>
  </si>
  <si>
    <t>Звірено з SRS 1.1 (GUI-40). Поля тест-кейсу, кроки й очікуваний результат перевірено на відповідність заявленій вимозі.</t>
  </si>
  <si>
    <t>Звірено з SRS 1.1 (GUI-80; F-60; GUI-60; U-20). Поля тест-кейсу, кроки й очікуваний результат перевірено на відповідність заявленій вимозі.</t>
  </si>
  <si>
    <t>Звірено з SRS 1.1 (F-60; GUI-60). Поля тест-кейсу, кроки й очікуваний результат перевірено на відповідність заявленій вимозі.</t>
  </si>
  <si>
    <t>Звірено з SRS 1.1 (F-70; GUI-85). Поля тест-кейсу, кроки й очікуваний результат перевірено на відповідність заявленій вимозі.</t>
  </si>
  <si>
    <t>Звірено з SRS 1.1 (F-70). Поля тест-кейсу, кроки й очікуваний результат перевірено на відповідність заявленій вимозі.</t>
  </si>
  <si>
    <t>Звірено з F-70, GUI-85 та Data. Повторний прогін 29.10: форма прийняла коректні граничні дані, показано подяку; первинний Failed збережено в Run 1, повторний Passed — у Run 2.</t>
  </si>
  <si>
    <t>Звірено з SRS 1.1 (F-70; GUI-60; U-20). Поля тест-кейсу, кроки й очікуваний результат перевірено на відповідність заявленій вимозі.</t>
  </si>
  <si>
    <t>Звірено з SRS 1.1 (F-70; GUI-60). Поля тест-кейсу, кроки й очікуваний результат перевірено на відповідність заявленій вимозі.</t>
  </si>
  <si>
    <t>Звірено з SRS 1.1 (F-80; S-10). Поля тест-кейсу, кроки й очікуваний результат перевірено на відповідність заявленій вимозі.</t>
  </si>
  <si>
    <t>Звірено з SRS 1.1 (F-80; GUI-70). Поля тест-кейсу, кроки й очікуваний результат перевірено на відповідність заявленій вимозі.</t>
  </si>
  <si>
    <t>Звірено з SRS 1.1 (GUI-70). Поля тест-кейсу, кроки й очікуваний результат перевірено на відповідність заявленій вимозі.</t>
  </si>
  <si>
    <t>Звірено з SRS 1.1 (F-85). Поля тест-кейсу, кроки й очікуваний результат перевірено на відповідність заявленій вимозі.</t>
  </si>
  <si>
    <t>Звірено з F-85 і S-10. Повторна перевірка: у новому Incognito без входу введено прямий URL /admin/message; список повідомлень відкрився. BUG-007 підтверджено; сценарій не є натисканням Back.</t>
  </si>
  <si>
    <t>Звірено з F-90. Під час повторної перевірки номер 104 (Twin, £127) створено в адмінпанелі, але в Our Rooms він відсутній; BUG-008 стосується відображення після створення.</t>
  </si>
  <si>
    <t>Звірено з F-90. Видалення BR-205 (Twin, £127) не працює; аналогічно не видаляється створений номер 104 (Twin, £127). BUG-009 підтверджено.</t>
  </si>
  <si>
    <t>Звірено з SRS 1.1 (F-90; GUI-60). Поля тест-кейсу, кроки й очікуваний результат перевірено на відповідність заявленій вимозі.</t>
  </si>
  <si>
    <t>Звірено з SRS 1.1 (F-100). Поля тест-кейсу, кроки й очікуваний результат перевірено на відповідність заявленій вимозі.</t>
  </si>
  <si>
    <t>Звірено з SRS 1.1 (F-120). Поля тест-кейсу, кроки й очікуваний результат перевірено на відповідність заявленій вимозі.</t>
  </si>
  <si>
    <t>Звірено з SRS 1.1 (F-130; S-20). Поля тест-кейсу, кроки й очікуваний результат перевірено на відповідність заявленій вимозі.</t>
  </si>
  <si>
    <t>Звірено з SRS 1.1 (P-10). Поля тест-кейсу, кроки й очікуваний результат перевірено на відповідність заявленій вимозі.</t>
  </si>
  <si>
    <t>Звірено з GUI-90: первинний прогін виконано в Edge, хоча сценарій вимагає Chrome 375×667. Для доказу відповідності браузеру потрібен окремий прогін у Chrome; результат Edge збережено.</t>
  </si>
  <si>
    <t>Звірено з GUI-90. Повторний прогін у Firefox 375×667 виконано зі слів тестувальника, отримано той самий результат; первинний прогін Edge збережено окремо.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</si>
</sst>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0\ &quot;₽&quot;_-;\-* #,##0\ &quot;₽&quot;_-;_-* &quot;-&quot;\ &quot;₽&quot;_-;_-@_-"/>
    <numFmt numFmtId="41" formatCode="_-* #,##0\ _₽_-;\-* #,##0\ _₽_-;_-* &quot;-&quot;\ _₽_-;_-@_-"/>
    <numFmt numFmtId="44" formatCode="_-* #,##0.00\ &quot;₽&quot;_-;\-* #,##0.00\ &quot;₽&quot;_-;_-* &quot;-&quot;??\ &quot;₽&quot;_-;_-@_-"/>
    <numFmt numFmtId="43" formatCode="_-* #,##0.00\ _₽_-;\-* #,##0.00\ _₽_-;_-* &quot;-&quot;??\ _₽_-;_-@_-"/>
  </numFmts>
  <fonts count="5" x14ac:knownFonts="1">
    <font>
      <sz val="11"/>
      <color theme="1"/>
      <name val="Calibri"/>
    </font>
    <font>
      <sz val="10"/>
      <name val="Arial"/>
    </font>
    <font>
      <b/>
      <sz val="11"/>
      <name val="Cambria"/>
    </font>
    <font>
      <b/>
      <sz val="11"/>
      <color rgb="FFFFFFFF"/>
      <name val="Cambria"/>
    </font>
    <font>
      <sz val="11"/>
      <color theme="1"/>
      <name val="Calibri"/>
    </font>
  </fonts>
  <fills count="4">
    <fill>
      <patternFill patternType="none"/>
    </fill>
    <fill>
      <patternFill patternType="gray125"/>
    </fill>
    <fill>
      <patternFill patternType="solid">
        <fgColor rgb="FFFFC48A"/>
      </patternFill>
    </fill>
    <fill>
      <patternFill patternType="solid">
        <fgColor rgb="FF183153"/>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7">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xf numFmtId="0" fontId="4" fillId="0" borderId="0"/>
  </cellStyleXfs>
  <cellXfs count="6">
    <xf numFmtId="0" fontId="0" fillId="0" borderId="0" xfId="0"/>
    <xf numFmtId="0" fontId="2" fillId="2" borderId="1" xfId="6" applyFont="1" applyFill="1" applyBorder="1" applyAlignment="1">
      <alignment vertical="center" wrapText="1"/>
    </xf>
    <xf numFmtId="0" fontId="0" fillId="0" borderId="1" xfId="6" applyFont="1" applyBorder="1" applyAlignment="1">
      <alignment vertical="top" wrapText="1"/>
    </xf>
    <xf numFmtId="0" fontId="0" fillId="0" borderId="1" xfId="6" applyFont="1" applyBorder="1" applyAlignment="1">
      <alignment vertical="top"/>
    </xf>
    <xf numFmtId="0" fontId="3" fillId="3" borderId="1" xfId="6" applyNumberFormat="1" applyFont="1" applyFill="1" applyBorder="1" applyAlignment="1">
      <alignment vertical="center" wrapText="1"/>
    </xf>
    <xf numFmtId="0" fontId="0" fillId="0" borderId="1" xfId="6" applyNumberFormat="1" applyFont="1" applyFill="1" applyBorder="1" applyAlignment="1">
      <alignment vertical="top" wrapText="1"/>
    </xf>
  </cellXfs>
  <cellStyles count="7">
    <cellStyle name="Comma" xfId="1"/>
    <cellStyle name="Comma [0]" xfId="2"/>
    <cellStyle name="Currency" xfId="3"/>
    <cellStyle name="Currency [0]" xfId="4"/>
    <cellStyle name="Normal" xfId="6"/>
    <cellStyle name="Percent" xfId="5"/>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48A"/>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workbookViewId="0">
      <pane xSplit="3" ySplit="1" topLeftCell="D2" activePane="bottomRight" state="frozen"/>
      <selection pane="topRight"/>
      <selection pane="bottomLeft"/>
      <selection pane="bottomRight" activeCell="D2" sqref="D2"/>
    </sheetView>
  </sheetViews>
  <sheetFormatPr defaultColWidth="8.6640625" defaultRowHeight="14.4" x14ac:dyDescent="0.3"/>
  <cols>
    <col min="1" max="1" width="9" customWidth="1"/>
    <col min="2" max="2" width="14" customWidth="1"/>
    <col min="3" max="3" width="42" customWidth="1"/>
    <col min="4" max="4" width="38" customWidth="1"/>
    <col min="5" max="6" width="62" customWidth="1"/>
    <col min="7" max="7" width="11" customWidth="1"/>
    <col min="8" max="8" width="12" customWidth="1"/>
    <col min="9" max="10" width="16" customWidth="1"/>
    <col min="11" max="11" width="14" customWidth="1"/>
    <col min="12" max="12" width="12" customWidth="1"/>
    <col min="13" max="13" width="14" customWidth="1"/>
  </cols>
  <sheetData>
    <row r="1" spans="1:13" ht="41.4" x14ac:dyDescent="0.3">
      <c r="A1" s="1" t="s">
        <v>0</v>
      </c>
      <c r="B1" s="1" t="s">
        <v>1</v>
      </c>
      <c r="C1" s="1" t="s">
        <v>2</v>
      </c>
      <c r="D1" s="1" t="s">
        <v>3</v>
      </c>
      <c r="E1" s="1" t="s">
        <v>4</v>
      </c>
      <c r="F1" s="1" t="s">
        <v>5</v>
      </c>
      <c r="G1" s="1" t="s">
        <v>6</v>
      </c>
      <c r="H1" s="1" t="s">
        <v>7</v>
      </c>
      <c r="I1" s="1" t="s">
        <v>8</v>
      </c>
      <c r="J1" s="1" t="s">
        <v>9</v>
      </c>
      <c r="K1" s="1" t="s">
        <v>10</v>
      </c>
      <c r="L1" s="1" t="s">
        <v>11</v>
      </c>
      <c r="M1" s="1" t="s">
        <v>12</v>
      </c>
    </row>
    <row r="2" spans="1:13" ht="72" x14ac:dyDescent="0.3">
      <c r="A2" s="2" t="s">
        <v>185</v>
      </c>
      <c r="B2" s="2" t="s">
        <v>17</v>
      </c>
      <c r="C2" s="2" t="s">
        <v>186</v>
      </c>
      <c r="D2" s="2" t="s">
        <v>187</v>
      </c>
      <c r="E2" s="2" t="s">
        <v>188</v>
      </c>
      <c r="F2" s="2" t="s">
        <v>189</v>
      </c>
      <c r="G2" s="2" t="s">
        <v>190</v>
      </c>
      <c r="H2" s="2" t="s">
        <v>191</v>
      </c>
      <c r="I2" s="2" t="s">
        <v>192</v>
      </c>
      <c r="J2" s="2" t="s">
        <v>193</v>
      </c>
      <c r="K2" s="2" t="s">
        <v>194</v>
      </c>
      <c r="L2" s="2" t="s">
        <v>195</v>
      </c>
      <c r="M2" s="2"/>
    </row>
    <row r="3" spans="1:13" ht="144" x14ac:dyDescent="0.3">
      <c r="A3" s="2" t="s">
        <v>196</v>
      </c>
      <c r="B3" s="2" t="s">
        <v>17</v>
      </c>
      <c r="C3" s="2" t="s">
        <v>197</v>
      </c>
      <c r="D3" s="2" t="s">
        <v>187</v>
      </c>
      <c r="E3" s="2" t="s">
        <v>198</v>
      </c>
      <c r="F3" s="2" t="s">
        <v>199</v>
      </c>
      <c r="G3" s="2" t="s">
        <v>190</v>
      </c>
      <c r="H3" s="2" t="s">
        <v>191</v>
      </c>
      <c r="I3" s="2" t="s">
        <v>192</v>
      </c>
      <c r="J3" s="2" t="s">
        <v>193</v>
      </c>
      <c r="K3" s="2" t="s">
        <v>194</v>
      </c>
      <c r="L3" s="2" t="s">
        <v>195</v>
      </c>
      <c r="M3" s="2"/>
    </row>
    <row r="4" spans="1:13" ht="72" x14ac:dyDescent="0.3">
      <c r="A4" s="2" t="s">
        <v>200</v>
      </c>
      <c r="B4" s="2" t="s">
        <v>17</v>
      </c>
      <c r="C4" s="2" t="s">
        <v>201</v>
      </c>
      <c r="D4" s="2" t="s">
        <v>187</v>
      </c>
      <c r="E4" s="2" t="s">
        <v>202</v>
      </c>
      <c r="F4" s="2" t="s">
        <v>203</v>
      </c>
      <c r="G4" s="2" t="s">
        <v>190</v>
      </c>
      <c r="H4" s="2" t="s">
        <v>191</v>
      </c>
      <c r="I4" s="2" t="s">
        <v>192</v>
      </c>
      <c r="J4" s="2" t="s">
        <v>193</v>
      </c>
      <c r="K4" s="2" t="s">
        <v>194</v>
      </c>
      <c r="L4" s="2" t="s">
        <v>195</v>
      </c>
      <c r="M4" s="2"/>
    </row>
    <row r="5" spans="1:13" ht="57.6" x14ac:dyDescent="0.3">
      <c r="A5" s="2" t="s">
        <v>204</v>
      </c>
      <c r="B5" s="2" t="s">
        <v>17</v>
      </c>
      <c r="C5" s="2" t="s">
        <v>205</v>
      </c>
      <c r="D5" s="2" t="s">
        <v>187</v>
      </c>
      <c r="E5" s="2" t="s">
        <v>206</v>
      </c>
      <c r="F5" s="2" t="s">
        <v>207</v>
      </c>
      <c r="G5" s="2" t="s">
        <v>190</v>
      </c>
      <c r="H5" s="2" t="s">
        <v>191</v>
      </c>
      <c r="I5" s="2" t="s">
        <v>192</v>
      </c>
      <c r="J5" s="2" t="s">
        <v>193</v>
      </c>
      <c r="K5" s="2" t="s">
        <v>194</v>
      </c>
      <c r="L5" s="2" t="s">
        <v>195</v>
      </c>
      <c r="M5" s="2"/>
    </row>
    <row r="6" spans="1:13" ht="100.8" x14ac:dyDescent="0.3">
      <c r="A6" s="2" t="s">
        <v>66</v>
      </c>
      <c r="B6" s="2" t="s">
        <v>64</v>
      </c>
      <c r="C6" s="2" t="s">
        <v>208</v>
      </c>
      <c r="D6" s="2" t="s">
        <v>187</v>
      </c>
      <c r="E6" s="2" t="s">
        <v>209</v>
      </c>
      <c r="F6" s="2" t="s">
        <v>210</v>
      </c>
      <c r="G6" s="2" t="s">
        <v>190</v>
      </c>
      <c r="H6" s="2" t="s">
        <v>191</v>
      </c>
      <c r="I6" s="2" t="s">
        <v>192</v>
      </c>
      <c r="J6" s="2" t="s">
        <v>193</v>
      </c>
      <c r="K6" s="2" t="s">
        <v>194</v>
      </c>
      <c r="L6" s="2" t="s">
        <v>195</v>
      </c>
      <c r="M6" s="2"/>
    </row>
    <row r="7" spans="1:13" ht="158.4" x14ac:dyDescent="0.3">
      <c r="A7" s="2" t="s">
        <v>72</v>
      </c>
      <c r="B7" s="2" t="s">
        <v>211</v>
      </c>
      <c r="C7" s="2" t="s">
        <v>212</v>
      </c>
      <c r="D7" s="2" t="s">
        <v>213</v>
      </c>
      <c r="E7" s="2" t="s">
        <v>214</v>
      </c>
      <c r="F7" s="2" t="s">
        <v>215</v>
      </c>
      <c r="G7" s="2" t="s">
        <v>190</v>
      </c>
      <c r="H7" s="2" t="s">
        <v>191</v>
      </c>
      <c r="I7" s="2" t="s">
        <v>192</v>
      </c>
      <c r="J7" s="2" t="s">
        <v>193</v>
      </c>
      <c r="K7" s="2" t="s">
        <v>194</v>
      </c>
      <c r="L7" s="2" t="s">
        <v>216</v>
      </c>
      <c r="M7" s="2"/>
    </row>
    <row r="8" spans="1:13" ht="129.6" x14ac:dyDescent="0.3">
      <c r="A8" s="2" t="s">
        <v>217</v>
      </c>
      <c r="B8" s="2" t="s">
        <v>21</v>
      </c>
      <c r="C8" s="2" t="s">
        <v>218</v>
      </c>
      <c r="D8" s="2" t="s">
        <v>219</v>
      </c>
      <c r="E8" s="2" t="s">
        <v>220</v>
      </c>
      <c r="F8" s="2" t="s">
        <v>221</v>
      </c>
      <c r="G8" s="2" t="s">
        <v>190</v>
      </c>
      <c r="H8" s="2" t="s">
        <v>191</v>
      </c>
      <c r="I8" s="2" t="s">
        <v>192</v>
      </c>
      <c r="J8" s="2" t="s">
        <v>193</v>
      </c>
      <c r="K8" s="2" t="s">
        <v>194</v>
      </c>
      <c r="L8" s="2" t="s">
        <v>195</v>
      </c>
      <c r="M8" s="2"/>
    </row>
    <row r="9" spans="1:13" ht="100.8" x14ac:dyDescent="0.3">
      <c r="A9" s="2" t="s">
        <v>222</v>
      </c>
      <c r="B9" s="2" t="s">
        <v>67</v>
      </c>
      <c r="C9" s="2" t="s">
        <v>223</v>
      </c>
      <c r="D9" s="2" t="s">
        <v>224</v>
      </c>
      <c r="E9" s="2" t="s">
        <v>225</v>
      </c>
      <c r="F9" s="2" t="s">
        <v>226</v>
      </c>
      <c r="G9" s="2" t="s">
        <v>227</v>
      </c>
      <c r="H9" s="2" t="s">
        <v>191</v>
      </c>
      <c r="I9" s="2" t="s">
        <v>192</v>
      </c>
      <c r="J9" s="2" t="s">
        <v>193</v>
      </c>
      <c r="K9" s="2" t="s">
        <v>194</v>
      </c>
      <c r="L9" s="2" t="s">
        <v>195</v>
      </c>
      <c r="M9" s="2"/>
    </row>
    <row r="10" spans="1:13" ht="100.8" x14ac:dyDescent="0.3">
      <c r="A10" s="2" t="s">
        <v>228</v>
      </c>
      <c r="B10" s="2" t="s">
        <v>67</v>
      </c>
      <c r="C10" s="2" t="s">
        <v>229</v>
      </c>
      <c r="D10" s="2" t="s">
        <v>230</v>
      </c>
      <c r="E10" s="2" t="s">
        <v>225</v>
      </c>
      <c r="F10" s="2" t="s">
        <v>231</v>
      </c>
      <c r="G10" s="2" t="s">
        <v>227</v>
      </c>
      <c r="H10" s="2" t="s">
        <v>191</v>
      </c>
      <c r="I10" s="2" t="s">
        <v>192</v>
      </c>
      <c r="J10" s="2" t="s">
        <v>193</v>
      </c>
      <c r="K10" s="2" t="s">
        <v>194</v>
      </c>
      <c r="L10" s="2" t="s">
        <v>195</v>
      </c>
      <c r="M10" s="2"/>
    </row>
    <row r="11" spans="1:13" ht="144" x14ac:dyDescent="0.3">
      <c r="A11" s="2" t="s">
        <v>232</v>
      </c>
      <c r="B11" s="2" t="s">
        <v>24</v>
      </c>
      <c r="C11" s="2" t="s">
        <v>233</v>
      </c>
      <c r="D11" s="2" t="s">
        <v>234</v>
      </c>
      <c r="E11" s="2" t="s">
        <v>235</v>
      </c>
      <c r="F11" s="2" t="s">
        <v>236</v>
      </c>
      <c r="G11" s="2" t="s">
        <v>190</v>
      </c>
      <c r="H11" s="2" t="s">
        <v>191</v>
      </c>
      <c r="I11" s="2" t="s">
        <v>192</v>
      </c>
      <c r="J11" s="2" t="s">
        <v>193</v>
      </c>
      <c r="K11" s="2" t="s">
        <v>194</v>
      </c>
      <c r="L11" s="2" t="s">
        <v>216</v>
      </c>
      <c r="M11" s="2"/>
    </row>
    <row r="12" spans="1:13" ht="115.2" x14ac:dyDescent="0.3">
      <c r="A12" s="2" t="s">
        <v>237</v>
      </c>
      <c r="B12" s="2" t="s">
        <v>238</v>
      </c>
      <c r="C12" s="2" t="s">
        <v>239</v>
      </c>
      <c r="D12" s="2" t="s">
        <v>187</v>
      </c>
      <c r="E12" s="2" t="s">
        <v>240</v>
      </c>
      <c r="F12" s="2" t="s">
        <v>241</v>
      </c>
      <c r="G12" s="2" t="s">
        <v>190</v>
      </c>
      <c r="H12" s="2" t="s">
        <v>242</v>
      </c>
      <c r="I12" s="2" t="s">
        <v>192</v>
      </c>
      <c r="J12" s="2" t="s">
        <v>193</v>
      </c>
      <c r="K12" s="2" t="s">
        <v>194</v>
      </c>
      <c r="L12" s="2" t="s">
        <v>195</v>
      </c>
      <c r="M12" s="2"/>
    </row>
    <row r="13" spans="1:13" ht="144" x14ac:dyDescent="0.3">
      <c r="A13" s="2" t="s">
        <v>243</v>
      </c>
      <c r="B13" s="2" t="s">
        <v>238</v>
      </c>
      <c r="C13" s="2" t="s">
        <v>244</v>
      </c>
      <c r="D13" s="2" t="s">
        <v>187</v>
      </c>
      <c r="E13" s="2" t="s">
        <v>245</v>
      </c>
      <c r="F13" s="2" t="s">
        <v>246</v>
      </c>
      <c r="G13" s="2" t="s">
        <v>190</v>
      </c>
      <c r="H13" s="2" t="s">
        <v>242</v>
      </c>
      <c r="I13" s="2" t="s">
        <v>192</v>
      </c>
      <c r="J13" s="2" t="s">
        <v>193</v>
      </c>
      <c r="K13" s="2" t="s">
        <v>194</v>
      </c>
      <c r="L13" s="2" t="s">
        <v>195</v>
      </c>
      <c r="M13" s="2"/>
    </row>
    <row r="14" spans="1:13" ht="144" x14ac:dyDescent="0.3">
      <c r="A14" s="2" t="s">
        <v>247</v>
      </c>
      <c r="B14" s="2" t="s">
        <v>238</v>
      </c>
      <c r="C14" s="2" t="s">
        <v>248</v>
      </c>
      <c r="D14" s="2" t="s">
        <v>249</v>
      </c>
      <c r="E14" s="2" t="s">
        <v>250</v>
      </c>
      <c r="F14" s="2" t="s">
        <v>251</v>
      </c>
      <c r="G14" s="2" t="s">
        <v>190</v>
      </c>
      <c r="H14" s="2" t="s">
        <v>242</v>
      </c>
      <c r="I14" s="2" t="s">
        <v>192</v>
      </c>
      <c r="J14" s="2" t="s">
        <v>193</v>
      </c>
      <c r="K14" s="2" t="s">
        <v>194</v>
      </c>
      <c r="L14" s="2" t="s">
        <v>195</v>
      </c>
      <c r="M14" s="2"/>
    </row>
    <row r="15" spans="1:13" ht="100.8" x14ac:dyDescent="0.3">
      <c r="A15" s="2" t="s">
        <v>252</v>
      </c>
      <c r="B15" s="2" t="s">
        <v>24</v>
      </c>
      <c r="C15" s="2" t="s">
        <v>253</v>
      </c>
      <c r="D15" s="2" t="s">
        <v>254</v>
      </c>
      <c r="E15" s="2" t="s">
        <v>255</v>
      </c>
      <c r="F15" s="2" t="s">
        <v>256</v>
      </c>
      <c r="G15" s="2" t="s">
        <v>190</v>
      </c>
      <c r="H15" s="2" t="s">
        <v>191</v>
      </c>
      <c r="I15" s="2" t="s">
        <v>192</v>
      </c>
      <c r="J15" s="2" t="s">
        <v>257</v>
      </c>
      <c r="K15" s="2" t="s">
        <v>194</v>
      </c>
      <c r="L15" s="2" t="s">
        <v>195</v>
      </c>
      <c r="M15" s="2"/>
    </row>
    <row r="16" spans="1:13" ht="100.8" x14ac:dyDescent="0.3">
      <c r="A16" s="2" t="s">
        <v>258</v>
      </c>
      <c r="B16" s="2" t="s">
        <v>259</v>
      </c>
      <c r="C16" s="2" t="s">
        <v>260</v>
      </c>
      <c r="D16" s="2" t="s">
        <v>261</v>
      </c>
      <c r="E16" s="2" t="s">
        <v>262</v>
      </c>
      <c r="F16" s="2" t="s">
        <v>263</v>
      </c>
      <c r="G16" s="2" t="s">
        <v>190</v>
      </c>
      <c r="H16" s="2" t="s">
        <v>242</v>
      </c>
      <c r="I16" s="2" t="s">
        <v>192</v>
      </c>
      <c r="J16" s="2" t="s">
        <v>257</v>
      </c>
      <c r="K16" s="2" t="s">
        <v>194</v>
      </c>
      <c r="L16" s="2" t="s">
        <v>195</v>
      </c>
      <c r="M16" s="2"/>
    </row>
    <row r="17" spans="1:13" ht="158.4" x14ac:dyDescent="0.3">
      <c r="A17" s="2" t="s">
        <v>264</v>
      </c>
      <c r="B17" s="2" t="s">
        <v>259</v>
      </c>
      <c r="C17" s="2" t="s">
        <v>265</v>
      </c>
      <c r="D17" s="2" t="s">
        <v>266</v>
      </c>
      <c r="E17" s="2" t="s">
        <v>267</v>
      </c>
      <c r="F17" s="2" t="s">
        <v>268</v>
      </c>
      <c r="G17" s="2" t="s">
        <v>190</v>
      </c>
      <c r="H17" s="2" t="s">
        <v>191</v>
      </c>
      <c r="I17" s="2" t="s">
        <v>192</v>
      </c>
      <c r="J17" s="2" t="s">
        <v>257</v>
      </c>
      <c r="K17" s="2" t="s">
        <v>194</v>
      </c>
      <c r="L17" s="2" t="s">
        <v>216</v>
      </c>
      <c r="M17" s="2"/>
    </row>
    <row r="18" spans="1:13" ht="129.6" x14ac:dyDescent="0.3">
      <c r="A18" s="2" t="s">
        <v>269</v>
      </c>
      <c r="B18" s="2" t="s">
        <v>28</v>
      </c>
      <c r="C18" s="2" t="s">
        <v>270</v>
      </c>
      <c r="D18" s="2" t="s">
        <v>271</v>
      </c>
      <c r="E18" s="2" t="s">
        <v>272</v>
      </c>
      <c r="F18" s="2" t="s">
        <v>273</v>
      </c>
      <c r="G18" s="2" t="s">
        <v>227</v>
      </c>
      <c r="H18" s="2" t="s">
        <v>191</v>
      </c>
      <c r="I18" s="2" t="s">
        <v>192</v>
      </c>
      <c r="J18" s="2" t="s">
        <v>257</v>
      </c>
      <c r="K18" s="2" t="s">
        <v>194</v>
      </c>
      <c r="L18" s="2" t="s">
        <v>195</v>
      </c>
      <c r="M18" s="2"/>
    </row>
    <row r="19" spans="1:13" ht="172.8" x14ac:dyDescent="0.3">
      <c r="A19" s="2" t="s">
        <v>274</v>
      </c>
      <c r="B19" s="2" t="s">
        <v>31</v>
      </c>
      <c r="C19" s="2" t="s">
        <v>275</v>
      </c>
      <c r="D19" s="2" t="s">
        <v>276</v>
      </c>
      <c r="E19" s="2" t="s">
        <v>277</v>
      </c>
      <c r="F19" s="2" t="s">
        <v>278</v>
      </c>
      <c r="G19" s="2" t="s">
        <v>190</v>
      </c>
      <c r="H19" s="2" t="s">
        <v>191</v>
      </c>
      <c r="I19" s="2" t="s">
        <v>192</v>
      </c>
      <c r="J19" s="2" t="s">
        <v>257</v>
      </c>
      <c r="K19" s="2" t="s">
        <v>194</v>
      </c>
      <c r="L19" s="2" t="s">
        <v>195</v>
      </c>
      <c r="M19" s="2"/>
    </row>
    <row r="20" spans="1:13" ht="129.6" x14ac:dyDescent="0.3">
      <c r="A20" s="2" t="s">
        <v>78</v>
      </c>
      <c r="B20" s="2" t="s">
        <v>279</v>
      </c>
      <c r="C20" s="2" t="s">
        <v>280</v>
      </c>
      <c r="D20" s="2" t="s">
        <v>281</v>
      </c>
      <c r="E20" s="2" t="s">
        <v>282</v>
      </c>
      <c r="F20" s="2" t="s">
        <v>283</v>
      </c>
      <c r="G20" s="2" t="s">
        <v>190</v>
      </c>
      <c r="H20" s="2" t="s">
        <v>191</v>
      </c>
      <c r="I20" s="2" t="s">
        <v>192</v>
      </c>
      <c r="J20" s="2" t="s">
        <v>257</v>
      </c>
      <c r="K20" s="2" t="s">
        <v>194</v>
      </c>
      <c r="L20" s="2" t="s">
        <v>195</v>
      </c>
      <c r="M20" s="2"/>
    </row>
    <row r="21" spans="1:13" ht="158.4" x14ac:dyDescent="0.3">
      <c r="A21" s="2" t="s">
        <v>284</v>
      </c>
      <c r="B21" s="2" t="s">
        <v>285</v>
      </c>
      <c r="C21" s="2" t="s">
        <v>286</v>
      </c>
      <c r="D21" s="2" t="s">
        <v>287</v>
      </c>
      <c r="E21" s="2" t="s">
        <v>288</v>
      </c>
      <c r="F21" s="2" t="s">
        <v>289</v>
      </c>
      <c r="G21" s="2" t="s">
        <v>190</v>
      </c>
      <c r="H21" s="2" t="s">
        <v>191</v>
      </c>
      <c r="I21" s="2" t="s">
        <v>192</v>
      </c>
      <c r="J21" s="2" t="s">
        <v>257</v>
      </c>
      <c r="K21" s="2" t="s">
        <v>194</v>
      </c>
      <c r="L21" s="2" t="s">
        <v>195</v>
      </c>
      <c r="M21" s="2"/>
    </row>
    <row r="22" spans="1:13" ht="158.4" x14ac:dyDescent="0.3">
      <c r="A22" s="2" t="s">
        <v>290</v>
      </c>
      <c r="B22" s="2" t="s">
        <v>73</v>
      </c>
      <c r="C22" s="2" t="s">
        <v>291</v>
      </c>
      <c r="D22" s="2" t="s">
        <v>292</v>
      </c>
      <c r="E22" s="2" t="s">
        <v>293</v>
      </c>
      <c r="F22" s="2" t="s">
        <v>294</v>
      </c>
      <c r="G22" s="2" t="s">
        <v>190</v>
      </c>
      <c r="H22" s="2" t="s">
        <v>191</v>
      </c>
      <c r="I22" s="2" t="s">
        <v>192</v>
      </c>
      <c r="J22" s="2" t="s">
        <v>257</v>
      </c>
      <c r="K22" s="2" t="s">
        <v>194</v>
      </c>
      <c r="L22" s="2" t="s">
        <v>195</v>
      </c>
      <c r="M22" s="2"/>
    </row>
    <row r="23" spans="1:13" ht="144" x14ac:dyDescent="0.3">
      <c r="A23" s="2" t="s">
        <v>87</v>
      </c>
      <c r="B23" s="2" t="s">
        <v>295</v>
      </c>
      <c r="C23" s="2" t="s">
        <v>296</v>
      </c>
      <c r="D23" s="2" t="s">
        <v>292</v>
      </c>
      <c r="E23" s="2" t="s">
        <v>297</v>
      </c>
      <c r="F23" s="2" t="s">
        <v>298</v>
      </c>
      <c r="G23" s="2" t="s">
        <v>227</v>
      </c>
      <c r="H23" s="2" t="s">
        <v>242</v>
      </c>
      <c r="I23" s="2" t="s">
        <v>192</v>
      </c>
      <c r="J23" s="2" t="s">
        <v>257</v>
      </c>
      <c r="K23" s="2" t="s">
        <v>194</v>
      </c>
      <c r="L23" s="2" t="s">
        <v>195</v>
      </c>
      <c r="M23" s="2"/>
    </row>
    <row r="24" spans="1:13" ht="158.4" x14ac:dyDescent="0.3">
      <c r="A24" s="2" t="s">
        <v>299</v>
      </c>
      <c r="B24" s="2" t="s">
        <v>300</v>
      </c>
      <c r="C24" s="2" t="s">
        <v>301</v>
      </c>
      <c r="D24" s="2" t="s">
        <v>292</v>
      </c>
      <c r="E24" s="2" t="s">
        <v>302</v>
      </c>
      <c r="F24" s="2" t="s">
        <v>303</v>
      </c>
      <c r="G24" s="2" t="s">
        <v>190</v>
      </c>
      <c r="H24" s="2" t="s">
        <v>242</v>
      </c>
      <c r="I24" s="2" t="s">
        <v>192</v>
      </c>
      <c r="J24" s="2" t="s">
        <v>257</v>
      </c>
      <c r="K24" s="2" t="s">
        <v>194</v>
      </c>
      <c r="L24" s="2" t="s">
        <v>195</v>
      </c>
      <c r="M24" s="2"/>
    </row>
    <row r="25" spans="1:13" ht="172.8" x14ac:dyDescent="0.3">
      <c r="A25" s="2" t="s">
        <v>90</v>
      </c>
      <c r="B25" s="2" t="s">
        <v>304</v>
      </c>
      <c r="C25" s="2" t="s">
        <v>305</v>
      </c>
      <c r="D25" s="2" t="s">
        <v>187</v>
      </c>
      <c r="E25" s="2" t="s">
        <v>306</v>
      </c>
      <c r="F25" s="2" t="s">
        <v>307</v>
      </c>
      <c r="G25" s="2" t="s">
        <v>227</v>
      </c>
      <c r="H25" s="2" t="s">
        <v>191</v>
      </c>
      <c r="I25" s="2" t="s">
        <v>192</v>
      </c>
      <c r="J25" s="2" t="s">
        <v>257</v>
      </c>
      <c r="K25" s="2" t="s">
        <v>194</v>
      </c>
      <c r="L25" s="2" t="s">
        <v>195</v>
      </c>
      <c r="M25" s="2"/>
    </row>
    <row r="26" spans="1:13" ht="158.4" x14ac:dyDescent="0.3">
      <c r="A26" s="2" t="s">
        <v>308</v>
      </c>
      <c r="B26" s="2" t="s">
        <v>37</v>
      </c>
      <c r="C26" s="2" t="s">
        <v>309</v>
      </c>
      <c r="D26" s="2" t="s">
        <v>310</v>
      </c>
      <c r="E26" s="2" t="s">
        <v>311</v>
      </c>
      <c r="F26" s="2" t="s">
        <v>312</v>
      </c>
      <c r="G26" s="2" t="s">
        <v>227</v>
      </c>
      <c r="H26" s="2" t="s">
        <v>191</v>
      </c>
      <c r="I26" s="2" t="s">
        <v>192</v>
      </c>
      <c r="J26" s="2" t="s">
        <v>257</v>
      </c>
      <c r="K26" s="2" t="s">
        <v>194</v>
      </c>
      <c r="L26" s="2" t="s">
        <v>195</v>
      </c>
      <c r="M26" s="2"/>
    </row>
    <row r="27" spans="1:13" ht="172.8" x14ac:dyDescent="0.3">
      <c r="A27" s="2" t="s">
        <v>313</v>
      </c>
      <c r="B27" s="2" t="s">
        <v>37</v>
      </c>
      <c r="C27" s="2" t="s">
        <v>314</v>
      </c>
      <c r="D27" s="2" t="s">
        <v>310</v>
      </c>
      <c r="E27" s="2" t="s">
        <v>315</v>
      </c>
      <c r="F27" s="2" t="s">
        <v>312</v>
      </c>
      <c r="G27" s="2" t="s">
        <v>227</v>
      </c>
      <c r="H27" s="2" t="s">
        <v>191</v>
      </c>
      <c r="I27" s="2" t="s">
        <v>192</v>
      </c>
      <c r="J27" s="2" t="s">
        <v>257</v>
      </c>
      <c r="K27" s="2" t="s">
        <v>194</v>
      </c>
      <c r="L27" s="2" t="s">
        <v>195</v>
      </c>
      <c r="M27" s="2" t="s">
        <v>316</v>
      </c>
    </row>
    <row r="28" spans="1:13" ht="100.8" x14ac:dyDescent="0.3">
      <c r="A28" s="2" t="s">
        <v>317</v>
      </c>
      <c r="B28" s="2" t="s">
        <v>318</v>
      </c>
      <c r="C28" s="2" t="s">
        <v>319</v>
      </c>
      <c r="D28" s="2" t="s">
        <v>187</v>
      </c>
      <c r="E28" s="2" t="s">
        <v>320</v>
      </c>
      <c r="F28" s="2" t="s">
        <v>321</v>
      </c>
      <c r="G28" s="2" t="s">
        <v>227</v>
      </c>
      <c r="H28" s="2" t="s">
        <v>242</v>
      </c>
      <c r="I28" s="2" t="s">
        <v>192</v>
      </c>
      <c r="J28" s="2" t="s">
        <v>193</v>
      </c>
      <c r="K28" s="2" t="s">
        <v>194</v>
      </c>
      <c r="L28" s="2" t="s">
        <v>195</v>
      </c>
      <c r="M28" s="2"/>
    </row>
    <row r="29" spans="1:13" ht="172.8" x14ac:dyDescent="0.3">
      <c r="A29" s="2" t="s">
        <v>322</v>
      </c>
      <c r="B29" s="2" t="s">
        <v>323</v>
      </c>
      <c r="C29" s="2" t="s">
        <v>324</v>
      </c>
      <c r="D29" s="2" t="s">
        <v>310</v>
      </c>
      <c r="E29" s="2" t="s">
        <v>325</v>
      </c>
      <c r="F29" s="2" t="s">
        <v>326</v>
      </c>
      <c r="G29" s="2" t="s">
        <v>227</v>
      </c>
      <c r="H29" s="2" t="s">
        <v>242</v>
      </c>
      <c r="I29" s="2" t="s">
        <v>192</v>
      </c>
      <c r="J29" s="2" t="s">
        <v>193</v>
      </c>
      <c r="K29" s="2" t="s">
        <v>194</v>
      </c>
      <c r="L29" s="2" t="s">
        <v>195</v>
      </c>
      <c r="M29" s="2"/>
    </row>
    <row r="30" spans="1:13" ht="172.8" x14ac:dyDescent="0.3">
      <c r="A30" s="2" t="s">
        <v>327</v>
      </c>
      <c r="B30" s="2" t="s">
        <v>323</v>
      </c>
      <c r="C30" s="2" t="s">
        <v>328</v>
      </c>
      <c r="D30" s="2" t="s">
        <v>310</v>
      </c>
      <c r="E30" s="2" t="s">
        <v>329</v>
      </c>
      <c r="F30" s="2" t="s">
        <v>326</v>
      </c>
      <c r="G30" s="2" t="s">
        <v>227</v>
      </c>
      <c r="H30" s="2" t="s">
        <v>242</v>
      </c>
      <c r="I30" s="2" t="s">
        <v>192</v>
      </c>
      <c r="J30" s="2" t="s">
        <v>193</v>
      </c>
      <c r="K30" s="2" t="s">
        <v>194</v>
      </c>
      <c r="L30" s="2" t="s">
        <v>195</v>
      </c>
      <c r="M30" s="2"/>
    </row>
    <row r="31" spans="1:13" ht="172.8" x14ac:dyDescent="0.3">
      <c r="A31" s="2" t="s">
        <v>330</v>
      </c>
      <c r="B31" s="2" t="s">
        <v>323</v>
      </c>
      <c r="C31" s="2" t="s">
        <v>331</v>
      </c>
      <c r="D31" s="2" t="s">
        <v>310</v>
      </c>
      <c r="E31" s="2" t="s">
        <v>332</v>
      </c>
      <c r="F31" s="2" t="s">
        <v>333</v>
      </c>
      <c r="G31" s="2" t="s">
        <v>227</v>
      </c>
      <c r="H31" s="2" t="s">
        <v>242</v>
      </c>
      <c r="I31" s="2" t="s">
        <v>192</v>
      </c>
      <c r="J31" s="2" t="s">
        <v>193</v>
      </c>
      <c r="K31" s="2" t="s">
        <v>194</v>
      </c>
      <c r="L31" s="2" t="s">
        <v>195</v>
      </c>
      <c r="M31" s="2"/>
    </row>
    <row r="32" spans="1:13" ht="172.8" x14ac:dyDescent="0.3">
      <c r="A32" s="2" t="s">
        <v>334</v>
      </c>
      <c r="B32" s="2" t="s">
        <v>323</v>
      </c>
      <c r="C32" s="2" t="s">
        <v>335</v>
      </c>
      <c r="D32" s="2" t="s">
        <v>310</v>
      </c>
      <c r="E32" s="2" t="s">
        <v>336</v>
      </c>
      <c r="F32" s="2" t="s">
        <v>333</v>
      </c>
      <c r="G32" s="2" t="s">
        <v>227</v>
      </c>
      <c r="H32" s="2" t="s">
        <v>242</v>
      </c>
      <c r="I32" s="2" t="s">
        <v>192</v>
      </c>
      <c r="J32" s="2" t="s">
        <v>193</v>
      </c>
      <c r="K32" s="2" t="s">
        <v>194</v>
      </c>
      <c r="L32" s="2" t="s">
        <v>195</v>
      </c>
      <c r="M32" s="2"/>
    </row>
    <row r="33" spans="1:13" ht="172.8" x14ac:dyDescent="0.3">
      <c r="A33" s="2" t="s">
        <v>337</v>
      </c>
      <c r="B33" s="2" t="s">
        <v>323</v>
      </c>
      <c r="C33" s="2" t="s">
        <v>338</v>
      </c>
      <c r="D33" s="2" t="s">
        <v>310</v>
      </c>
      <c r="E33" s="2" t="s">
        <v>339</v>
      </c>
      <c r="F33" s="2" t="s">
        <v>340</v>
      </c>
      <c r="G33" s="2" t="s">
        <v>227</v>
      </c>
      <c r="H33" s="2" t="s">
        <v>242</v>
      </c>
      <c r="I33" s="2" t="s">
        <v>192</v>
      </c>
      <c r="J33" s="2" t="s">
        <v>193</v>
      </c>
      <c r="K33" s="2" t="s">
        <v>194</v>
      </c>
      <c r="L33" s="2" t="s">
        <v>195</v>
      </c>
      <c r="M33" s="2"/>
    </row>
    <row r="34" spans="1:13" ht="172.8" x14ac:dyDescent="0.3">
      <c r="A34" s="2" t="s">
        <v>341</v>
      </c>
      <c r="B34" s="2" t="s">
        <v>323</v>
      </c>
      <c r="C34" s="2" t="s">
        <v>342</v>
      </c>
      <c r="D34" s="2" t="s">
        <v>310</v>
      </c>
      <c r="E34" s="2" t="s">
        <v>343</v>
      </c>
      <c r="F34" s="2" t="s">
        <v>340</v>
      </c>
      <c r="G34" s="2" t="s">
        <v>227</v>
      </c>
      <c r="H34" s="2" t="s">
        <v>242</v>
      </c>
      <c r="I34" s="2" t="s">
        <v>192</v>
      </c>
      <c r="J34" s="2" t="s">
        <v>193</v>
      </c>
      <c r="K34" s="2" t="s">
        <v>194</v>
      </c>
      <c r="L34" s="2" t="s">
        <v>195</v>
      </c>
      <c r="M34" s="2"/>
    </row>
    <row r="35" spans="1:13" ht="115.2" x14ac:dyDescent="0.3">
      <c r="A35" s="2" t="s">
        <v>344</v>
      </c>
      <c r="B35" s="2" t="s">
        <v>345</v>
      </c>
      <c r="C35" s="2" t="s">
        <v>346</v>
      </c>
      <c r="D35" s="2" t="s">
        <v>347</v>
      </c>
      <c r="E35" s="2" t="s">
        <v>348</v>
      </c>
      <c r="F35" s="2" t="s">
        <v>349</v>
      </c>
      <c r="G35" s="2" t="s">
        <v>190</v>
      </c>
      <c r="H35" s="2" t="s">
        <v>191</v>
      </c>
      <c r="I35" s="2" t="s">
        <v>192</v>
      </c>
      <c r="J35" s="2" t="s">
        <v>193</v>
      </c>
      <c r="K35" s="2" t="s">
        <v>194</v>
      </c>
      <c r="L35" s="2" t="s">
        <v>195</v>
      </c>
      <c r="M35" s="2"/>
    </row>
    <row r="36" spans="1:13" ht="86.4" x14ac:dyDescent="0.3">
      <c r="A36" s="2" t="s">
        <v>350</v>
      </c>
      <c r="B36" s="2" t="s">
        <v>351</v>
      </c>
      <c r="C36" s="2" t="s">
        <v>352</v>
      </c>
      <c r="D36" s="2" t="s">
        <v>187</v>
      </c>
      <c r="E36" s="2" t="s">
        <v>353</v>
      </c>
      <c r="F36" s="2" t="s">
        <v>354</v>
      </c>
      <c r="G36" s="2" t="s">
        <v>190</v>
      </c>
      <c r="H36" s="2" t="s">
        <v>242</v>
      </c>
      <c r="I36" s="2" t="s">
        <v>192</v>
      </c>
      <c r="J36" s="2" t="s">
        <v>193</v>
      </c>
      <c r="K36" s="2" t="s">
        <v>194</v>
      </c>
      <c r="L36" s="2" t="s">
        <v>195</v>
      </c>
      <c r="M36" s="2"/>
    </row>
    <row r="37" spans="1:13" ht="115.2" x14ac:dyDescent="0.3">
      <c r="A37" s="2" t="s">
        <v>355</v>
      </c>
      <c r="B37" s="2" t="s">
        <v>82</v>
      </c>
      <c r="C37" s="2" t="s">
        <v>356</v>
      </c>
      <c r="D37" s="2" t="s">
        <v>187</v>
      </c>
      <c r="E37" s="2" t="s">
        <v>357</v>
      </c>
      <c r="F37" s="2" t="s">
        <v>358</v>
      </c>
      <c r="G37" s="2" t="s">
        <v>190</v>
      </c>
      <c r="H37" s="2" t="s">
        <v>191</v>
      </c>
      <c r="I37" s="2" t="s">
        <v>192</v>
      </c>
      <c r="J37" s="2" t="s">
        <v>193</v>
      </c>
      <c r="K37" s="2" t="s">
        <v>194</v>
      </c>
      <c r="L37" s="2" t="s">
        <v>195</v>
      </c>
      <c r="M37" s="2"/>
    </row>
    <row r="38" spans="1:13" ht="115.2" x14ac:dyDescent="0.3">
      <c r="A38" s="2" t="s">
        <v>359</v>
      </c>
      <c r="B38" s="2" t="s">
        <v>43</v>
      </c>
      <c r="C38" s="2" t="s">
        <v>360</v>
      </c>
      <c r="D38" s="2" t="s">
        <v>347</v>
      </c>
      <c r="E38" s="2" t="s">
        <v>361</v>
      </c>
      <c r="F38" s="2" t="s">
        <v>362</v>
      </c>
      <c r="G38" s="2" t="s">
        <v>227</v>
      </c>
      <c r="H38" s="2" t="s">
        <v>191</v>
      </c>
      <c r="I38" s="2" t="s">
        <v>192</v>
      </c>
      <c r="J38" s="2" t="s">
        <v>193</v>
      </c>
      <c r="K38" s="2" t="s">
        <v>194</v>
      </c>
      <c r="L38" s="2" t="s">
        <v>195</v>
      </c>
      <c r="M38" s="2" t="s">
        <v>363</v>
      </c>
    </row>
    <row r="39" spans="1:13" ht="201.6" x14ac:dyDescent="0.3">
      <c r="A39" s="2" t="s">
        <v>364</v>
      </c>
      <c r="B39" s="2" t="s">
        <v>365</v>
      </c>
      <c r="C39" s="2" t="s">
        <v>366</v>
      </c>
      <c r="D39" s="2" t="s">
        <v>347</v>
      </c>
      <c r="E39" s="2" t="s">
        <v>367</v>
      </c>
      <c r="F39" s="2" t="s">
        <v>368</v>
      </c>
      <c r="G39" s="2" t="s">
        <v>190</v>
      </c>
      <c r="H39" s="2" t="s">
        <v>242</v>
      </c>
      <c r="I39" s="2" t="s">
        <v>192</v>
      </c>
      <c r="J39" s="2" t="s">
        <v>193</v>
      </c>
      <c r="K39" s="2" t="s">
        <v>194</v>
      </c>
      <c r="L39" s="2" t="s">
        <v>195</v>
      </c>
      <c r="M39" s="2" t="s">
        <v>369</v>
      </c>
    </row>
    <row r="40" spans="1:13" ht="216" x14ac:dyDescent="0.3">
      <c r="A40" s="2" t="s">
        <v>370</v>
      </c>
      <c r="B40" s="2" t="s">
        <v>46</v>
      </c>
      <c r="C40" s="2" t="s">
        <v>371</v>
      </c>
      <c r="D40" s="2" t="s">
        <v>372</v>
      </c>
      <c r="E40" s="2" t="s">
        <v>373</v>
      </c>
      <c r="F40" s="2" t="s">
        <v>374</v>
      </c>
      <c r="G40" s="2" t="s">
        <v>190</v>
      </c>
      <c r="H40" s="2" t="s">
        <v>191</v>
      </c>
      <c r="I40" s="2" t="s">
        <v>192</v>
      </c>
      <c r="J40" s="2" t="s">
        <v>193</v>
      </c>
      <c r="K40" s="2" t="s">
        <v>194</v>
      </c>
      <c r="L40" s="2" t="s">
        <v>195</v>
      </c>
      <c r="M40" s="2" t="s">
        <v>375</v>
      </c>
    </row>
    <row r="41" spans="1:13" ht="158.4" x14ac:dyDescent="0.3">
      <c r="A41" s="2" t="s">
        <v>376</v>
      </c>
      <c r="B41" s="2" t="s">
        <v>46</v>
      </c>
      <c r="C41" s="2" t="s">
        <v>377</v>
      </c>
      <c r="D41" s="2" t="s">
        <v>378</v>
      </c>
      <c r="E41" s="2" t="s">
        <v>379</v>
      </c>
      <c r="F41" s="2" t="s">
        <v>380</v>
      </c>
      <c r="G41" s="2" t="s">
        <v>190</v>
      </c>
      <c r="H41" s="2" t="s">
        <v>191</v>
      </c>
      <c r="I41" s="2" t="s">
        <v>192</v>
      </c>
      <c r="J41" s="2" t="s">
        <v>193</v>
      </c>
      <c r="K41" s="2" t="s">
        <v>194</v>
      </c>
      <c r="L41" s="2" t="s">
        <v>195</v>
      </c>
      <c r="M41" s="2" t="s">
        <v>381</v>
      </c>
    </row>
    <row r="42" spans="1:13" ht="144" x14ac:dyDescent="0.3">
      <c r="A42" s="2" t="s">
        <v>382</v>
      </c>
      <c r="B42" s="2" t="s">
        <v>383</v>
      </c>
      <c r="C42" s="2" t="s">
        <v>384</v>
      </c>
      <c r="D42" s="2" t="s">
        <v>347</v>
      </c>
      <c r="E42" s="2" t="s">
        <v>385</v>
      </c>
      <c r="F42" s="2" t="s">
        <v>386</v>
      </c>
      <c r="G42" s="2" t="s">
        <v>190</v>
      </c>
      <c r="H42" s="2" t="s">
        <v>242</v>
      </c>
      <c r="I42" s="2" t="s">
        <v>192</v>
      </c>
      <c r="J42" s="2" t="s">
        <v>193</v>
      </c>
      <c r="K42" s="2" t="s">
        <v>194</v>
      </c>
      <c r="L42" s="2" t="s">
        <v>195</v>
      </c>
      <c r="M42" s="2"/>
    </row>
    <row r="43" spans="1:13" ht="129.6" x14ac:dyDescent="0.3">
      <c r="A43" s="2" t="s">
        <v>387</v>
      </c>
      <c r="B43" s="2" t="s">
        <v>383</v>
      </c>
      <c r="C43" s="2" t="s">
        <v>388</v>
      </c>
      <c r="D43" s="2" t="s">
        <v>389</v>
      </c>
      <c r="E43" s="2" t="s">
        <v>390</v>
      </c>
      <c r="F43" s="2" t="s">
        <v>391</v>
      </c>
      <c r="G43" s="2" t="s">
        <v>190</v>
      </c>
      <c r="H43" s="2" t="s">
        <v>242</v>
      </c>
      <c r="I43" s="2" t="s">
        <v>192</v>
      </c>
      <c r="J43" s="2" t="s">
        <v>193</v>
      </c>
      <c r="K43" s="2" t="s">
        <v>194</v>
      </c>
      <c r="L43" s="2" t="s">
        <v>195</v>
      </c>
      <c r="M43" s="2"/>
    </row>
    <row r="44" spans="1:13" ht="158.4" x14ac:dyDescent="0.3">
      <c r="A44" s="2" t="s">
        <v>392</v>
      </c>
      <c r="B44" s="2" t="s">
        <v>49</v>
      </c>
      <c r="C44" s="2" t="s">
        <v>393</v>
      </c>
      <c r="D44" s="2" t="s">
        <v>394</v>
      </c>
      <c r="E44" s="2" t="s">
        <v>395</v>
      </c>
      <c r="F44" s="2" t="s">
        <v>396</v>
      </c>
      <c r="G44" s="2" t="s">
        <v>227</v>
      </c>
      <c r="H44" s="2" t="s">
        <v>191</v>
      </c>
      <c r="I44" s="2" t="s">
        <v>192</v>
      </c>
      <c r="J44" s="2" t="s">
        <v>193</v>
      </c>
      <c r="K44" s="2" t="s">
        <v>194</v>
      </c>
      <c r="L44" s="2" t="s">
        <v>195</v>
      </c>
      <c r="M44" s="2"/>
    </row>
    <row r="45" spans="1:13" ht="158.4" x14ac:dyDescent="0.3">
      <c r="A45" s="2" t="s">
        <v>397</v>
      </c>
      <c r="B45" s="2" t="s">
        <v>49</v>
      </c>
      <c r="C45" s="2" t="s">
        <v>398</v>
      </c>
      <c r="D45" s="2" t="s">
        <v>399</v>
      </c>
      <c r="E45" s="2" t="s">
        <v>400</v>
      </c>
      <c r="F45" s="2" t="s">
        <v>401</v>
      </c>
      <c r="G45" s="2" t="s">
        <v>227</v>
      </c>
      <c r="H45" s="2" t="s">
        <v>191</v>
      </c>
      <c r="I45" s="2" t="s">
        <v>192</v>
      </c>
      <c r="J45" s="2" t="s">
        <v>193</v>
      </c>
      <c r="K45" s="2" t="s">
        <v>194</v>
      </c>
      <c r="L45" s="2" t="s">
        <v>195</v>
      </c>
      <c r="M45" s="2"/>
    </row>
    <row r="46" spans="1:13" ht="158.4" x14ac:dyDescent="0.3">
      <c r="A46" s="2" t="s">
        <v>58</v>
      </c>
      <c r="B46" s="2" t="s">
        <v>56</v>
      </c>
      <c r="C46" s="2" t="s">
        <v>402</v>
      </c>
      <c r="D46" s="2" t="s">
        <v>403</v>
      </c>
      <c r="E46" s="2" t="s">
        <v>404</v>
      </c>
      <c r="F46" s="2" t="s">
        <v>405</v>
      </c>
      <c r="G46" s="2" t="s">
        <v>406</v>
      </c>
      <c r="H46" s="2" t="s">
        <v>191</v>
      </c>
      <c r="I46" s="2" t="s">
        <v>192</v>
      </c>
      <c r="J46" s="2" t="s">
        <v>193</v>
      </c>
      <c r="K46" s="2" t="s">
        <v>194</v>
      </c>
      <c r="L46" s="2" t="s">
        <v>195</v>
      </c>
      <c r="M46" s="2"/>
    </row>
    <row r="47" spans="1:13" ht="115.2" x14ac:dyDescent="0.3">
      <c r="A47" s="2" t="s">
        <v>62</v>
      </c>
      <c r="B47" s="2" t="s">
        <v>407</v>
      </c>
      <c r="C47" s="2" t="s">
        <v>408</v>
      </c>
      <c r="D47" s="2" t="s">
        <v>347</v>
      </c>
      <c r="E47" s="2" t="s">
        <v>409</v>
      </c>
      <c r="F47" s="2" t="s">
        <v>410</v>
      </c>
      <c r="G47" s="2" t="s">
        <v>190</v>
      </c>
      <c r="H47" s="2" t="s">
        <v>242</v>
      </c>
      <c r="I47" s="2" t="s">
        <v>192</v>
      </c>
      <c r="J47" s="2" t="s">
        <v>193</v>
      </c>
      <c r="K47" s="2" t="s">
        <v>194</v>
      </c>
      <c r="L47" s="2" t="s">
        <v>195</v>
      </c>
      <c r="M47" s="2"/>
    </row>
    <row r="48" spans="1:13" ht="86.4" x14ac:dyDescent="0.3">
      <c r="A48" s="2" t="s">
        <v>119</v>
      </c>
      <c r="B48" s="2" t="s">
        <v>117</v>
      </c>
      <c r="C48" s="2" t="s">
        <v>411</v>
      </c>
      <c r="D48" s="2" t="s">
        <v>412</v>
      </c>
      <c r="E48" s="2" t="s">
        <v>413</v>
      </c>
      <c r="F48" s="2" t="s">
        <v>414</v>
      </c>
      <c r="G48" s="2" t="s">
        <v>227</v>
      </c>
      <c r="H48" s="2" t="s">
        <v>191</v>
      </c>
      <c r="I48" s="2" t="s">
        <v>192</v>
      </c>
      <c r="J48" s="2" t="s">
        <v>193</v>
      </c>
      <c r="K48" s="2" t="s">
        <v>194</v>
      </c>
      <c r="L48" s="2" t="s">
        <v>195</v>
      </c>
      <c r="M48" s="2"/>
    </row>
    <row r="49" spans="1:13" ht="144" x14ac:dyDescent="0.3">
      <c r="A49" s="2" t="s">
        <v>415</v>
      </c>
      <c r="B49" s="2" t="s">
        <v>91</v>
      </c>
      <c r="C49" s="2" t="s">
        <v>416</v>
      </c>
      <c r="D49" s="2" t="s">
        <v>417</v>
      </c>
      <c r="E49" s="2" t="s">
        <v>418</v>
      </c>
      <c r="F49" s="2" t="s">
        <v>419</v>
      </c>
      <c r="G49" s="2" t="s">
        <v>406</v>
      </c>
      <c r="H49" s="2" t="s">
        <v>191</v>
      </c>
      <c r="I49" s="2" t="s">
        <v>192</v>
      </c>
      <c r="J49" s="2" t="s">
        <v>193</v>
      </c>
      <c r="K49" s="2" t="s">
        <v>194</v>
      </c>
      <c r="L49" s="2" t="s">
        <v>216</v>
      </c>
      <c r="M49" s="2"/>
    </row>
    <row r="50" spans="1:13" ht="144" x14ac:dyDescent="0.3">
      <c r="A50" s="2" t="s">
        <v>420</v>
      </c>
      <c r="B50" s="2" t="s">
        <v>91</v>
      </c>
      <c r="C50" s="2" t="s">
        <v>421</v>
      </c>
      <c r="D50" s="2" t="s">
        <v>422</v>
      </c>
      <c r="E50" s="2" t="s">
        <v>418</v>
      </c>
      <c r="F50" s="2" t="s">
        <v>419</v>
      </c>
      <c r="G50" s="2" t="s">
        <v>406</v>
      </c>
      <c r="H50" s="2" t="s">
        <v>191</v>
      </c>
      <c r="I50" s="2" t="s">
        <v>192</v>
      </c>
      <c r="J50" s="2" t="s">
        <v>193</v>
      </c>
      <c r="K50" s="2" t="s">
        <v>194</v>
      </c>
      <c r="L50" s="2" t="s">
        <v>195</v>
      </c>
      <c r="M50" s="2"/>
    </row>
  </sheetData>
  <dataValidations count="1">
    <dataValidation type="list" sqref="L2:L50">
      <formula1>"draft,reviewed,approved"</formula1>
      <formula2>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tabSelected="1" workbookViewId="0">
      <pane ySplit="1" topLeftCell="A2" activePane="bottomLeft" state="frozen"/>
      <selection pane="bottomLeft"/>
    </sheetView>
  </sheetViews>
  <sheetFormatPr defaultColWidth="8.6640625" defaultRowHeight="14.4" x14ac:dyDescent="0.3"/>
  <cols>
    <col min="1" max="1" width="11" customWidth="1"/>
    <col min="2" max="2" width="70" customWidth="1"/>
    <col min="3" max="3" width="36" customWidth="1"/>
    <col min="4" max="4" width="95" customWidth="1"/>
  </cols>
  <sheetData>
    <row r="1" spans="1:4" x14ac:dyDescent="0.3">
      <c r="A1" s="1" t="s">
        <v>13</v>
      </c>
      <c r="B1" s="1" t="s">
        <v>14</v>
      </c>
      <c r="C1" s="1" t="s">
        <v>15</v>
      </c>
      <c r="D1" s="1" t="s">
        <v>16</v>
      </c>
    </row>
    <row r="2" spans="1:4" ht="28.8" x14ac:dyDescent="0.3">
      <c r="A2" s="2" t="s">
        <v>17</v>
      </c>
      <c r="B2" s="2" t="s">
        <v>18</v>
      </c>
      <c r="C2" s="2" t="s">
        <v>19</v>
      </c>
      <c r="D2" s="2" t="s">
        <v>20</v>
      </c>
    </row>
    <row r="3" spans="1:4" ht="28.8" x14ac:dyDescent="0.3">
      <c r="A3" s="2" t="s">
        <v>21</v>
      </c>
      <c r="B3" s="2" t="s">
        <v>22</v>
      </c>
      <c r="C3" s="2" t="s">
        <v>23</v>
      </c>
      <c r="D3" s="2" t="s">
        <v>20</v>
      </c>
    </row>
    <row r="4" spans="1:4" x14ac:dyDescent="0.3">
      <c r="A4" s="2" t="s">
        <v>24</v>
      </c>
      <c r="B4" s="2" t="s">
        <v>25</v>
      </c>
      <c r="C4" s="2" t="s">
        <v>26</v>
      </c>
      <c r="D4" s="2" t="s">
        <v>27</v>
      </c>
    </row>
    <row r="5" spans="1:4" x14ac:dyDescent="0.3">
      <c r="A5" s="2" t="s">
        <v>28</v>
      </c>
      <c r="B5" s="2" t="s">
        <v>29</v>
      </c>
      <c r="C5" s="2" t="s">
        <v>30</v>
      </c>
      <c r="D5" s="2" t="s">
        <v>27</v>
      </c>
    </row>
    <row r="6" spans="1:4" ht="28.8" x14ac:dyDescent="0.3">
      <c r="A6" s="2" t="s">
        <v>31</v>
      </c>
      <c r="B6" s="2" t="s">
        <v>32</v>
      </c>
      <c r="C6" s="2" t="s">
        <v>33</v>
      </c>
      <c r="D6" s="2" t="s">
        <v>20</v>
      </c>
    </row>
    <row r="7" spans="1:4" ht="28.8" x14ac:dyDescent="0.3">
      <c r="A7" s="2" t="s">
        <v>34</v>
      </c>
      <c r="B7" s="2" t="s">
        <v>35</v>
      </c>
      <c r="C7" s="2" t="s">
        <v>36</v>
      </c>
      <c r="D7" s="2" t="s">
        <v>27</v>
      </c>
    </row>
    <row r="8" spans="1:4" ht="28.8" x14ac:dyDescent="0.3">
      <c r="A8" s="2" t="s">
        <v>37</v>
      </c>
      <c r="B8" s="2" t="s">
        <v>38</v>
      </c>
      <c r="C8" s="2" t="s">
        <v>39</v>
      </c>
      <c r="D8" s="2" t="s">
        <v>27</v>
      </c>
    </row>
    <row r="9" spans="1:4" x14ac:dyDescent="0.3">
      <c r="A9" s="2" t="s">
        <v>40</v>
      </c>
      <c r="B9" s="2" t="s">
        <v>41</v>
      </c>
      <c r="C9" s="2" t="s">
        <v>42</v>
      </c>
      <c r="D9" s="2" t="s">
        <v>27</v>
      </c>
    </row>
    <row r="10" spans="1:4" x14ac:dyDescent="0.3">
      <c r="A10" s="2" t="s">
        <v>43</v>
      </c>
      <c r="B10" s="2" t="s">
        <v>44</v>
      </c>
      <c r="C10" s="2" t="s">
        <v>45</v>
      </c>
      <c r="D10" s="2" t="s">
        <v>27</v>
      </c>
    </row>
    <row r="11" spans="1:4" x14ac:dyDescent="0.3">
      <c r="A11" s="2" t="s">
        <v>46</v>
      </c>
      <c r="B11" s="2" t="s">
        <v>47</v>
      </c>
      <c r="C11" s="2" t="s">
        <v>48</v>
      </c>
      <c r="D11" s="2" t="s">
        <v>27</v>
      </c>
    </row>
    <row r="12" spans="1:4" x14ac:dyDescent="0.3">
      <c r="A12" s="2" t="s">
        <v>49</v>
      </c>
      <c r="B12" s="2" t="s">
        <v>50</v>
      </c>
      <c r="C12" s="2" t="s">
        <v>51</v>
      </c>
      <c r="D12" s="2" t="s">
        <v>20</v>
      </c>
    </row>
    <row r="13" spans="1:4" ht="43.2" x14ac:dyDescent="0.3">
      <c r="A13" s="2" t="s">
        <v>52</v>
      </c>
      <c r="B13" s="2" t="s">
        <v>53</v>
      </c>
      <c r="C13" s="2" t="s">
        <v>54</v>
      </c>
      <c r="D13" s="2" t="s">
        <v>55</v>
      </c>
    </row>
    <row r="14" spans="1:4" ht="43.2" x14ac:dyDescent="0.3">
      <c r="A14" s="2" t="s">
        <v>56</v>
      </c>
      <c r="B14" s="2" t="s">
        <v>57</v>
      </c>
      <c r="C14" s="2" t="s">
        <v>58</v>
      </c>
      <c r="D14" s="2" t="s">
        <v>59</v>
      </c>
    </row>
    <row r="15" spans="1:4" ht="28.8" x14ac:dyDescent="0.3">
      <c r="A15" s="2" t="s">
        <v>60</v>
      </c>
      <c r="B15" s="2" t="s">
        <v>61</v>
      </c>
      <c r="C15" s="2" t="s">
        <v>62</v>
      </c>
      <c r="D15" s="2" t="s">
        <v>63</v>
      </c>
    </row>
    <row r="16" spans="1:4" x14ac:dyDescent="0.3">
      <c r="A16" s="2" t="s">
        <v>64</v>
      </c>
      <c r="B16" s="2" t="s">
        <v>65</v>
      </c>
      <c r="C16" s="2" t="s">
        <v>66</v>
      </c>
      <c r="D16" s="2" t="s">
        <v>20</v>
      </c>
    </row>
    <row r="17" spans="1:4" x14ac:dyDescent="0.3">
      <c r="A17" s="2" t="s">
        <v>67</v>
      </c>
      <c r="B17" s="2" t="s">
        <v>68</v>
      </c>
      <c r="C17" s="2" t="s">
        <v>69</v>
      </c>
      <c r="D17" s="2" t="s">
        <v>20</v>
      </c>
    </row>
    <row r="18" spans="1:4" ht="28.8" x14ac:dyDescent="0.3">
      <c r="A18" s="2" t="s">
        <v>70</v>
      </c>
      <c r="B18" s="2" t="s">
        <v>71</v>
      </c>
      <c r="C18" s="2" t="s">
        <v>72</v>
      </c>
      <c r="D18" s="2" t="s">
        <v>20</v>
      </c>
    </row>
    <row r="19" spans="1:4" x14ac:dyDescent="0.3">
      <c r="A19" s="2" t="s">
        <v>73</v>
      </c>
      <c r="B19" s="2" t="s">
        <v>74</v>
      </c>
      <c r="C19" s="2" t="s">
        <v>75</v>
      </c>
      <c r="D19" s="2" t="s">
        <v>20</v>
      </c>
    </row>
    <row r="20" spans="1:4" x14ac:dyDescent="0.3">
      <c r="A20" s="2" t="s">
        <v>76</v>
      </c>
      <c r="B20" s="2" t="s">
        <v>77</v>
      </c>
      <c r="C20" s="2" t="s">
        <v>78</v>
      </c>
      <c r="D20" s="2" t="s">
        <v>20</v>
      </c>
    </row>
    <row r="21" spans="1:4" ht="43.2" x14ac:dyDescent="0.3">
      <c r="A21" s="2" t="s">
        <v>79</v>
      </c>
      <c r="B21" s="2" t="s">
        <v>80</v>
      </c>
      <c r="C21" s="2" t="s">
        <v>81</v>
      </c>
      <c r="D21" s="2" t="s">
        <v>27</v>
      </c>
    </row>
    <row r="22" spans="1:4" x14ac:dyDescent="0.3">
      <c r="A22" s="2" t="s">
        <v>82</v>
      </c>
      <c r="B22" s="2" t="s">
        <v>83</v>
      </c>
      <c r="C22" s="2" t="s">
        <v>84</v>
      </c>
      <c r="D22" s="2" t="s">
        <v>27</v>
      </c>
    </row>
    <row r="23" spans="1:4" x14ac:dyDescent="0.3">
      <c r="A23" s="2" t="s">
        <v>85</v>
      </c>
      <c r="B23" s="2" t="s">
        <v>86</v>
      </c>
      <c r="C23" s="2" t="s">
        <v>87</v>
      </c>
      <c r="D23" s="2" t="s">
        <v>27</v>
      </c>
    </row>
    <row r="24" spans="1:4" x14ac:dyDescent="0.3">
      <c r="A24" s="2" t="s">
        <v>88</v>
      </c>
      <c r="B24" s="2" t="s">
        <v>89</v>
      </c>
      <c r="C24" s="2" t="s">
        <v>90</v>
      </c>
      <c r="D24" s="2" t="s">
        <v>20</v>
      </c>
    </row>
    <row r="25" spans="1:4" x14ac:dyDescent="0.3">
      <c r="A25" s="2" t="s">
        <v>91</v>
      </c>
      <c r="B25" s="2" t="s">
        <v>92</v>
      </c>
      <c r="C25" s="2" t="s">
        <v>93</v>
      </c>
      <c r="D25" s="2" t="s">
        <v>20</v>
      </c>
    </row>
    <row r="26" spans="1:4" ht="28.8" x14ac:dyDescent="0.3">
      <c r="A26" s="2" t="s">
        <v>94</v>
      </c>
      <c r="B26" s="2" t="s">
        <v>95</v>
      </c>
      <c r="C26" s="2" t="s">
        <v>96</v>
      </c>
      <c r="D26" s="2" t="s">
        <v>97</v>
      </c>
    </row>
    <row r="27" spans="1:4" ht="28.8" x14ac:dyDescent="0.3">
      <c r="A27" s="2" t="s">
        <v>98</v>
      </c>
      <c r="B27" s="2" t="s">
        <v>99</v>
      </c>
      <c r="C27" s="2" t="s">
        <v>54</v>
      </c>
      <c r="D27" s="2" t="s">
        <v>100</v>
      </c>
    </row>
    <row r="28" spans="1:4" ht="28.8" x14ac:dyDescent="0.3">
      <c r="A28" s="2" t="s">
        <v>101</v>
      </c>
      <c r="B28" s="2" t="s">
        <v>102</v>
      </c>
      <c r="C28" s="2" t="s">
        <v>54</v>
      </c>
      <c r="D28" s="2" t="s">
        <v>103</v>
      </c>
    </row>
    <row r="29" spans="1:4" x14ac:dyDescent="0.3">
      <c r="A29" s="2" t="s">
        <v>104</v>
      </c>
      <c r="B29" s="2" t="s">
        <v>105</v>
      </c>
      <c r="C29" s="2" t="s">
        <v>54</v>
      </c>
      <c r="D29" s="2" t="s">
        <v>106</v>
      </c>
    </row>
    <row r="30" spans="1:4" ht="28.8" x14ac:dyDescent="0.3">
      <c r="A30" s="2" t="s">
        <v>107</v>
      </c>
      <c r="B30" s="2" t="s">
        <v>108</v>
      </c>
      <c r="C30" s="2" t="s">
        <v>54</v>
      </c>
      <c r="D30" s="2" t="s">
        <v>109</v>
      </c>
    </row>
    <row r="31" spans="1:4" x14ac:dyDescent="0.3">
      <c r="A31" s="2" t="s">
        <v>110</v>
      </c>
      <c r="B31" s="2" t="s">
        <v>111</v>
      </c>
      <c r="C31" s="2" t="s">
        <v>54</v>
      </c>
      <c r="D31" s="2" t="s">
        <v>112</v>
      </c>
    </row>
    <row r="32" spans="1:4" ht="28.8" x14ac:dyDescent="0.3">
      <c r="A32" s="2" t="s">
        <v>113</v>
      </c>
      <c r="B32" s="2" t="s">
        <v>114</v>
      </c>
      <c r="C32" s="2" t="s">
        <v>115</v>
      </c>
      <c r="D32" s="2" t="s">
        <v>116</v>
      </c>
    </row>
    <row r="33" spans="1:4" x14ac:dyDescent="0.3">
      <c r="A33" s="2" t="s">
        <v>117</v>
      </c>
      <c r="B33" s="2" t="s">
        <v>118</v>
      </c>
      <c r="C33" s="2" t="s">
        <v>119</v>
      </c>
      <c r="D33" s="2" t="s">
        <v>20</v>
      </c>
    </row>
    <row r="34" spans="1:4" ht="28.8" x14ac:dyDescent="0.3">
      <c r="A34" s="2" t="s">
        <v>120</v>
      </c>
      <c r="B34" s="2" t="s">
        <v>121</v>
      </c>
      <c r="C34" s="2" t="s">
        <v>54</v>
      </c>
      <c r="D34" s="2" t="s">
        <v>122</v>
      </c>
    </row>
    <row r="35" spans="1:4" ht="43.2" x14ac:dyDescent="0.3">
      <c r="A35" s="2" t="s">
        <v>123</v>
      </c>
      <c r="B35" s="2" t="s">
        <v>124</v>
      </c>
      <c r="C35" s="2" t="s">
        <v>125</v>
      </c>
      <c r="D35" s="2" t="s">
        <v>126</v>
      </c>
    </row>
    <row r="36" spans="1:4" x14ac:dyDescent="0.3">
      <c r="A36" s="2" t="s">
        <v>127</v>
      </c>
      <c r="B36" s="2" t="s">
        <v>128</v>
      </c>
      <c r="C36" s="2" t="s">
        <v>62</v>
      </c>
      <c r="D36" s="2" t="s">
        <v>27</v>
      </c>
    </row>
    <row r="37" spans="1:4" ht="28.8" x14ac:dyDescent="0.3">
      <c r="A37" s="2" t="s">
        <v>129</v>
      </c>
      <c r="B37" s="2" t="s">
        <v>130</v>
      </c>
      <c r="C37" s="2" t="s">
        <v>54</v>
      </c>
      <c r="D37" s="2" t="s">
        <v>131</v>
      </c>
    </row>
    <row r="38" spans="1:4" x14ac:dyDescent="0.3">
      <c r="A38" s="2" t="s">
        <v>132</v>
      </c>
      <c r="B38" s="2" t="s">
        <v>133</v>
      </c>
      <c r="C38" s="2" t="s">
        <v>134</v>
      </c>
      <c r="D38" s="2" t="s">
        <v>27</v>
      </c>
    </row>
    <row r="39" spans="1:4" x14ac:dyDescent="0.3">
      <c r="A39" s="2" t="s">
        <v>135</v>
      </c>
      <c r="B39" s="2" t="s">
        <v>136</v>
      </c>
      <c r="C39" s="2" t="s">
        <v>54</v>
      </c>
      <c r="D39" s="2" t="s">
        <v>137</v>
      </c>
    </row>
    <row r="40" spans="1:4" x14ac:dyDescent="0.3">
      <c r="A40" s="2" t="s">
        <v>138</v>
      </c>
      <c r="B40" s="2" t="s">
        <v>139</v>
      </c>
      <c r="C40" s="2" t="s">
        <v>54</v>
      </c>
      <c r="D40" s="2" t="s">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workbookViewId="0">
      <pane ySplit="1" topLeftCell="A2" activePane="bottomLeft" state="frozen"/>
      <selection pane="bottomLeft"/>
    </sheetView>
  </sheetViews>
  <sheetFormatPr defaultColWidth="8.6640625" defaultRowHeight="14.4" x14ac:dyDescent="0.3"/>
  <cols>
    <col min="1" max="1" width="14" customWidth="1"/>
    <col min="2" max="2" width="28" customWidth="1"/>
    <col min="3" max="3" width="16" customWidth="1"/>
    <col min="4" max="4" width="95" customWidth="1"/>
    <col min="5" max="5" width="20" customWidth="1"/>
  </cols>
  <sheetData>
    <row r="1" spans="1:5" ht="28.05" customHeight="1" x14ac:dyDescent="0.3">
      <c r="A1" s="4" t="s">
        <v>141</v>
      </c>
      <c r="B1" s="4" t="s">
        <v>9</v>
      </c>
      <c r="C1" s="4" t="s">
        <v>142</v>
      </c>
      <c r="D1" s="4" t="s">
        <v>143</v>
      </c>
      <c r="E1" s="4" t="s">
        <v>144</v>
      </c>
    </row>
    <row r="2" spans="1:5" ht="57" customHeight="1" x14ac:dyDescent="0.3">
      <c r="A2" s="2" t="s">
        <v>185</v>
      </c>
      <c r="B2" s="2" t="s">
        <v>193</v>
      </c>
      <c r="C2" s="2" t="s">
        <v>194</v>
      </c>
      <c r="D2" s="5" t="s">
        <v>423</v>
      </c>
      <c r="E2" s="2" t="s">
        <v>424</v>
      </c>
    </row>
    <row r="3" spans="1:5" ht="57" customHeight="1" x14ac:dyDescent="0.3">
      <c r="A3" s="2" t="s">
        <v>196</v>
      </c>
      <c r="B3" s="2" t="s">
        <v>193</v>
      </c>
      <c r="C3" s="2" t="s">
        <v>194</v>
      </c>
      <c r="D3" s="5" t="s">
        <v>425</v>
      </c>
      <c r="E3" s="2" t="s">
        <v>424</v>
      </c>
    </row>
    <row r="4" spans="1:5" ht="57" customHeight="1" x14ac:dyDescent="0.3">
      <c r="A4" s="2" t="s">
        <v>200</v>
      </c>
      <c r="B4" s="2" t="s">
        <v>193</v>
      </c>
      <c r="C4" s="2" t="s">
        <v>194</v>
      </c>
      <c r="D4" s="5" t="s">
        <v>426</v>
      </c>
      <c r="E4" s="2" t="s">
        <v>424</v>
      </c>
    </row>
    <row r="5" spans="1:5" ht="57" customHeight="1" x14ac:dyDescent="0.3">
      <c r="A5" s="2" t="s">
        <v>204</v>
      </c>
      <c r="B5" s="2" t="s">
        <v>193</v>
      </c>
      <c r="C5" s="2" t="s">
        <v>194</v>
      </c>
      <c r="D5" s="5" t="s">
        <v>426</v>
      </c>
      <c r="E5" s="2" t="s">
        <v>424</v>
      </c>
    </row>
    <row r="6" spans="1:5" ht="57" customHeight="1" x14ac:dyDescent="0.3">
      <c r="A6" s="2" t="s">
        <v>66</v>
      </c>
      <c r="B6" s="2" t="s">
        <v>193</v>
      </c>
      <c r="C6" s="2" t="s">
        <v>194</v>
      </c>
      <c r="D6" s="5" t="s">
        <v>427</v>
      </c>
      <c r="E6" s="2" t="s">
        <v>424</v>
      </c>
    </row>
    <row r="7" spans="1:5" ht="57" customHeight="1" x14ac:dyDescent="0.3">
      <c r="A7" s="2" t="s">
        <v>72</v>
      </c>
      <c r="B7" s="2" t="s">
        <v>193</v>
      </c>
      <c r="C7" s="2" t="s">
        <v>194</v>
      </c>
      <c r="D7" s="5" t="s">
        <v>428</v>
      </c>
      <c r="E7" s="2" t="s">
        <v>429</v>
      </c>
    </row>
    <row r="8" spans="1:5" ht="57" customHeight="1" x14ac:dyDescent="0.3">
      <c r="A8" s="2" t="s">
        <v>217</v>
      </c>
      <c r="B8" s="2" t="s">
        <v>193</v>
      </c>
      <c r="C8" s="2" t="s">
        <v>194</v>
      </c>
      <c r="D8" s="5" t="s">
        <v>430</v>
      </c>
      <c r="E8" s="2" t="s">
        <v>424</v>
      </c>
    </row>
    <row r="9" spans="1:5" ht="57" customHeight="1" x14ac:dyDescent="0.3">
      <c r="A9" s="2" t="s">
        <v>222</v>
      </c>
      <c r="B9" s="2" t="s">
        <v>193</v>
      </c>
      <c r="C9" s="2" t="s">
        <v>194</v>
      </c>
      <c r="D9" s="5" t="s">
        <v>431</v>
      </c>
      <c r="E9" s="2" t="s">
        <v>424</v>
      </c>
    </row>
    <row r="10" spans="1:5" ht="57" customHeight="1" x14ac:dyDescent="0.3">
      <c r="A10" s="2" t="s">
        <v>228</v>
      </c>
      <c r="B10" s="2" t="s">
        <v>193</v>
      </c>
      <c r="C10" s="2" t="s">
        <v>194</v>
      </c>
      <c r="D10" s="5" t="s">
        <v>431</v>
      </c>
      <c r="E10" s="2" t="s">
        <v>424</v>
      </c>
    </row>
    <row r="11" spans="1:5" ht="57" customHeight="1" x14ac:dyDescent="0.3">
      <c r="A11" s="2" t="s">
        <v>232</v>
      </c>
      <c r="B11" s="2" t="s">
        <v>193</v>
      </c>
      <c r="C11" s="2" t="s">
        <v>194</v>
      </c>
      <c r="D11" s="5" t="s">
        <v>432</v>
      </c>
      <c r="E11" s="2" t="s">
        <v>429</v>
      </c>
    </row>
    <row r="12" spans="1:5" ht="57" customHeight="1" x14ac:dyDescent="0.3">
      <c r="A12" s="2" t="s">
        <v>237</v>
      </c>
      <c r="B12" s="2" t="s">
        <v>193</v>
      </c>
      <c r="C12" s="2" t="s">
        <v>194</v>
      </c>
      <c r="D12" s="5" t="s">
        <v>433</v>
      </c>
      <c r="E12" s="2" t="s">
        <v>424</v>
      </c>
    </row>
    <row r="13" spans="1:5" ht="57" customHeight="1" x14ac:dyDescent="0.3">
      <c r="A13" s="2" t="s">
        <v>243</v>
      </c>
      <c r="B13" s="2" t="s">
        <v>193</v>
      </c>
      <c r="C13" s="2" t="s">
        <v>194</v>
      </c>
      <c r="D13" s="5" t="s">
        <v>433</v>
      </c>
      <c r="E13" s="2" t="s">
        <v>424</v>
      </c>
    </row>
    <row r="14" spans="1:5" ht="57" customHeight="1" x14ac:dyDescent="0.3">
      <c r="A14" s="2" t="s">
        <v>247</v>
      </c>
      <c r="B14" s="2" t="s">
        <v>193</v>
      </c>
      <c r="C14" s="2" t="s">
        <v>194</v>
      </c>
      <c r="D14" s="5" t="s">
        <v>433</v>
      </c>
      <c r="E14" s="2" t="s">
        <v>424</v>
      </c>
    </row>
    <row r="15" spans="1:5" ht="57" customHeight="1" x14ac:dyDescent="0.3">
      <c r="A15" s="2" t="s">
        <v>252</v>
      </c>
      <c r="B15" s="2" t="s">
        <v>257</v>
      </c>
      <c r="C15" s="2" t="s">
        <v>194</v>
      </c>
      <c r="D15" s="5" t="s">
        <v>434</v>
      </c>
      <c r="E15" s="2" t="s">
        <v>424</v>
      </c>
    </row>
    <row r="16" spans="1:5" ht="57" customHeight="1" x14ac:dyDescent="0.3">
      <c r="A16" s="2" t="s">
        <v>258</v>
      </c>
      <c r="B16" s="2" t="s">
        <v>257</v>
      </c>
      <c r="C16" s="2" t="s">
        <v>194</v>
      </c>
      <c r="D16" s="5" t="s">
        <v>435</v>
      </c>
      <c r="E16" s="2" t="s">
        <v>424</v>
      </c>
    </row>
    <row r="17" spans="1:5" ht="57" customHeight="1" x14ac:dyDescent="0.3">
      <c r="A17" s="2" t="s">
        <v>264</v>
      </c>
      <c r="B17" s="2" t="s">
        <v>257</v>
      </c>
      <c r="C17" s="2" t="s">
        <v>194</v>
      </c>
      <c r="D17" s="5" t="s">
        <v>436</v>
      </c>
      <c r="E17" s="2" t="s">
        <v>429</v>
      </c>
    </row>
    <row r="18" spans="1:5" ht="57" customHeight="1" x14ac:dyDescent="0.3">
      <c r="A18" s="2" t="s">
        <v>269</v>
      </c>
      <c r="B18" s="2" t="s">
        <v>257</v>
      </c>
      <c r="C18" s="2" t="s">
        <v>194</v>
      </c>
      <c r="D18" s="5" t="s">
        <v>437</v>
      </c>
      <c r="E18" s="2" t="s">
        <v>424</v>
      </c>
    </row>
    <row r="19" spans="1:5" ht="57" customHeight="1" x14ac:dyDescent="0.3">
      <c r="A19" s="2" t="s">
        <v>274</v>
      </c>
      <c r="B19" s="2" t="s">
        <v>257</v>
      </c>
      <c r="C19" s="2" t="s">
        <v>194</v>
      </c>
      <c r="D19" s="5" t="s">
        <v>438</v>
      </c>
      <c r="E19" s="2" t="s">
        <v>424</v>
      </c>
    </row>
    <row r="20" spans="1:5" ht="57" customHeight="1" x14ac:dyDescent="0.3">
      <c r="A20" s="2" t="s">
        <v>78</v>
      </c>
      <c r="B20" s="2" t="s">
        <v>257</v>
      </c>
      <c r="C20" s="2" t="s">
        <v>194</v>
      </c>
      <c r="D20" s="5" t="s">
        <v>439</v>
      </c>
      <c r="E20" s="2" t="s">
        <v>424</v>
      </c>
    </row>
    <row r="21" spans="1:5" ht="57" customHeight="1" x14ac:dyDescent="0.3">
      <c r="A21" s="2" t="s">
        <v>284</v>
      </c>
      <c r="B21" s="2" t="s">
        <v>257</v>
      </c>
      <c r="C21" s="2" t="s">
        <v>194</v>
      </c>
      <c r="D21" s="5" t="s">
        <v>440</v>
      </c>
      <c r="E21" s="2" t="s">
        <v>424</v>
      </c>
    </row>
    <row r="22" spans="1:5" ht="57" customHeight="1" x14ac:dyDescent="0.3">
      <c r="A22" s="2" t="s">
        <v>290</v>
      </c>
      <c r="B22" s="2" t="s">
        <v>257</v>
      </c>
      <c r="C22" s="2" t="s">
        <v>194</v>
      </c>
      <c r="D22" s="5" t="s">
        <v>441</v>
      </c>
      <c r="E22" s="2" t="s">
        <v>424</v>
      </c>
    </row>
    <row r="23" spans="1:5" ht="57" customHeight="1" x14ac:dyDescent="0.3">
      <c r="A23" s="2" t="s">
        <v>87</v>
      </c>
      <c r="B23" s="2" t="s">
        <v>257</v>
      </c>
      <c r="C23" s="2" t="s">
        <v>194</v>
      </c>
      <c r="D23" s="5" t="s">
        <v>442</v>
      </c>
      <c r="E23" s="2" t="s">
        <v>424</v>
      </c>
    </row>
    <row r="24" spans="1:5" ht="57" customHeight="1" x14ac:dyDescent="0.3">
      <c r="A24" s="2" t="s">
        <v>299</v>
      </c>
      <c r="B24" s="2" t="s">
        <v>257</v>
      </c>
      <c r="C24" s="2" t="s">
        <v>194</v>
      </c>
      <c r="D24" s="5" t="s">
        <v>443</v>
      </c>
      <c r="E24" s="2" t="s">
        <v>424</v>
      </c>
    </row>
    <row r="25" spans="1:5" ht="57" customHeight="1" x14ac:dyDescent="0.3">
      <c r="A25" s="2" t="s">
        <v>90</v>
      </c>
      <c r="B25" s="2" t="s">
        <v>257</v>
      </c>
      <c r="C25" s="2" t="s">
        <v>194</v>
      </c>
      <c r="D25" s="5" t="s">
        <v>444</v>
      </c>
      <c r="E25" s="2" t="s">
        <v>424</v>
      </c>
    </row>
    <row r="26" spans="1:5" ht="57" customHeight="1" x14ac:dyDescent="0.3">
      <c r="A26" s="2" t="s">
        <v>308</v>
      </c>
      <c r="B26" s="2" t="s">
        <v>257</v>
      </c>
      <c r="C26" s="2" t="s">
        <v>194</v>
      </c>
      <c r="D26" s="5" t="s">
        <v>445</v>
      </c>
      <c r="E26" s="2" t="s">
        <v>424</v>
      </c>
    </row>
    <row r="27" spans="1:5" ht="57" customHeight="1" x14ac:dyDescent="0.3">
      <c r="A27" s="2" t="s">
        <v>313</v>
      </c>
      <c r="B27" s="2" t="s">
        <v>257</v>
      </c>
      <c r="C27" s="2" t="s">
        <v>194</v>
      </c>
      <c r="D27" s="5" t="s">
        <v>446</v>
      </c>
      <c r="E27" s="2" t="s">
        <v>424</v>
      </c>
    </row>
    <row r="28" spans="1:5" ht="57" customHeight="1" x14ac:dyDescent="0.3">
      <c r="A28" s="2" t="s">
        <v>317</v>
      </c>
      <c r="B28" s="2" t="s">
        <v>193</v>
      </c>
      <c r="C28" s="2" t="s">
        <v>194</v>
      </c>
      <c r="D28" s="5" t="s">
        <v>447</v>
      </c>
      <c r="E28" s="2" t="s">
        <v>424</v>
      </c>
    </row>
    <row r="29" spans="1:5" ht="57" customHeight="1" x14ac:dyDescent="0.3">
      <c r="A29" s="2" t="s">
        <v>322</v>
      </c>
      <c r="B29" s="2" t="s">
        <v>193</v>
      </c>
      <c r="C29" s="2" t="s">
        <v>194</v>
      </c>
      <c r="D29" s="5" t="s">
        <v>448</v>
      </c>
      <c r="E29" s="2" t="s">
        <v>424</v>
      </c>
    </row>
    <row r="30" spans="1:5" ht="57" customHeight="1" x14ac:dyDescent="0.3">
      <c r="A30" s="2" t="s">
        <v>327</v>
      </c>
      <c r="B30" s="2" t="s">
        <v>193</v>
      </c>
      <c r="C30" s="2" t="s">
        <v>194</v>
      </c>
      <c r="D30" s="5" t="s">
        <v>448</v>
      </c>
      <c r="E30" s="2" t="s">
        <v>424</v>
      </c>
    </row>
    <row r="31" spans="1:5" ht="57" customHeight="1" x14ac:dyDescent="0.3">
      <c r="A31" s="2" t="s">
        <v>330</v>
      </c>
      <c r="B31" s="2" t="s">
        <v>193</v>
      </c>
      <c r="C31" s="2" t="s">
        <v>194</v>
      </c>
      <c r="D31" s="5" t="s">
        <v>448</v>
      </c>
      <c r="E31" s="2" t="s">
        <v>424</v>
      </c>
    </row>
    <row r="32" spans="1:5" ht="57" customHeight="1" x14ac:dyDescent="0.3">
      <c r="A32" s="2" t="s">
        <v>334</v>
      </c>
      <c r="B32" s="2" t="s">
        <v>193</v>
      </c>
      <c r="C32" s="2" t="s">
        <v>194</v>
      </c>
      <c r="D32" s="5" t="s">
        <v>448</v>
      </c>
      <c r="E32" s="2" t="s">
        <v>424</v>
      </c>
    </row>
    <row r="33" spans="1:5" ht="57" customHeight="1" x14ac:dyDescent="0.3">
      <c r="A33" s="2" t="s">
        <v>337</v>
      </c>
      <c r="B33" s="2" t="s">
        <v>193</v>
      </c>
      <c r="C33" s="2" t="s">
        <v>194</v>
      </c>
      <c r="D33" s="5" t="s">
        <v>448</v>
      </c>
      <c r="E33" s="2" t="s">
        <v>424</v>
      </c>
    </row>
    <row r="34" spans="1:5" ht="57" customHeight="1" x14ac:dyDescent="0.3">
      <c r="A34" s="2" t="s">
        <v>341</v>
      </c>
      <c r="B34" s="2" t="s">
        <v>193</v>
      </c>
      <c r="C34" s="2" t="s">
        <v>194</v>
      </c>
      <c r="D34" s="5" t="s">
        <v>448</v>
      </c>
      <c r="E34" s="2" t="s">
        <v>424</v>
      </c>
    </row>
    <row r="35" spans="1:5" ht="57" customHeight="1" x14ac:dyDescent="0.3">
      <c r="A35" s="2" t="s">
        <v>344</v>
      </c>
      <c r="B35" s="2" t="s">
        <v>193</v>
      </c>
      <c r="C35" s="2" t="s">
        <v>194</v>
      </c>
      <c r="D35" s="5" t="s">
        <v>449</v>
      </c>
      <c r="E35" s="2" t="s">
        <v>424</v>
      </c>
    </row>
    <row r="36" spans="1:5" ht="57" customHeight="1" x14ac:dyDescent="0.3">
      <c r="A36" s="2" t="s">
        <v>350</v>
      </c>
      <c r="B36" s="2" t="s">
        <v>193</v>
      </c>
      <c r="C36" s="2" t="s">
        <v>194</v>
      </c>
      <c r="D36" s="5" t="s">
        <v>450</v>
      </c>
      <c r="E36" s="2" t="s">
        <v>424</v>
      </c>
    </row>
    <row r="37" spans="1:5" ht="57" customHeight="1" x14ac:dyDescent="0.3">
      <c r="A37" s="2" t="s">
        <v>355</v>
      </c>
      <c r="B37" s="2" t="s">
        <v>193</v>
      </c>
      <c r="C37" s="2" t="s">
        <v>194</v>
      </c>
      <c r="D37" s="5" t="s">
        <v>451</v>
      </c>
      <c r="E37" s="2" t="s">
        <v>424</v>
      </c>
    </row>
    <row r="38" spans="1:5" ht="57" customHeight="1" x14ac:dyDescent="0.3">
      <c r="A38" s="2" t="s">
        <v>359</v>
      </c>
      <c r="B38" s="2" t="s">
        <v>193</v>
      </c>
      <c r="C38" s="2" t="s">
        <v>194</v>
      </c>
      <c r="D38" s="5" t="s">
        <v>452</v>
      </c>
      <c r="E38" s="2" t="s">
        <v>424</v>
      </c>
    </row>
    <row r="39" spans="1:5" ht="57" customHeight="1" x14ac:dyDescent="0.3">
      <c r="A39" s="2" t="s">
        <v>364</v>
      </c>
      <c r="B39" s="2" t="s">
        <v>193</v>
      </c>
      <c r="C39" s="2" t="s">
        <v>194</v>
      </c>
      <c r="D39" s="5" t="s">
        <v>453</v>
      </c>
      <c r="E39" s="2" t="s">
        <v>424</v>
      </c>
    </row>
    <row r="40" spans="1:5" ht="57" customHeight="1" x14ac:dyDescent="0.3">
      <c r="A40" s="2" t="s">
        <v>370</v>
      </c>
      <c r="B40" s="2" t="s">
        <v>193</v>
      </c>
      <c r="C40" s="2" t="s">
        <v>194</v>
      </c>
      <c r="D40" s="5" t="s">
        <v>454</v>
      </c>
      <c r="E40" s="2" t="s">
        <v>424</v>
      </c>
    </row>
    <row r="41" spans="1:5" ht="57" customHeight="1" x14ac:dyDescent="0.3">
      <c r="A41" s="2" t="s">
        <v>376</v>
      </c>
      <c r="B41" s="2" t="s">
        <v>193</v>
      </c>
      <c r="C41" s="2" t="s">
        <v>194</v>
      </c>
      <c r="D41" s="5" t="s">
        <v>455</v>
      </c>
      <c r="E41" s="2" t="s">
        <v>424</v>
      </c>
    </row>
    <row r="42" spans="1:5" ht="57" customHeight="1" x14ac:dyDescent="0.3">
      <c r="A42" s="2" t="s">
        <v>382</v>
      </c>
      <c r="B42" s="2" t="s">
        <v>193</v>
      </c>
      <c r="C42" s="2" t="s">
        <v>194</v>
      </c>
      <c r="D42" s="5" t="s">
        <v>456</v>
      </c>
      <c r="E42" s="2" t="s">
        <v>424</v>
      </c>
    </row>
    <row r="43" spans="1:5" ht="57" customHeight="1" x14ac:dyDescent="0.3">
      <c r="A43" s="2" t="s">
        <v>387</v>
      </c>
      <c r="B43" s="2" t="s">
        <v>193</v>
      </c>
      <c r="C43" s="2" t="s">
        <v>194</v>
      </c>
      <c r="D43" s="5" t="s">
        <v>456</v>
      </c>
      <c r="E43" s="2" t="s">
        <v>424</v>
      </c>
    </row>
    <row r="44" spans="1:5" ht="57" customHeight="1" x14ac:dyDescent="0.3">
      <c r="A44" s="2" t="s">
        <v>392</v>
      </c>
      <c r="B44" s="2" t="s">
        <v>193</v>
      </c>
      <c r="C44" s="2" t="s">
        <v>194</v>
      </c>
      <c r="D44" s="5" t="s">
        <v>457</v>
      </c>
      <c r="E44" s="2" t="s">
        <v>424</v>
      </c>
    </row>
    <row r="45" spans="1:5" ht="57" customHeight="1" x14ac:dyDescent="0.3">
      <c r="A45" s="2" t="s">
        <v>397</v>
      </c>
      <c r="B45" s="2" t="s">
        <v>193</v>
      </c>
      <c r="C45" s="2" t="s">
        <v>194</v>
      </c>
      <c r="D45" s="5" t="s">
        <v>457</v>
      </c>
      <c r="E45" s="2" t="s">
        <v>424</v>
      </c>
    </row>
    <row r="46" spans="1:5" ht="57" customHeight="1" x14ac:dyDescent="0.3">
      <c r="A46" s="2" t="s">
        <v>58</v>
      </c>
      <c r="B46" s="2" t="s">
        <v>193</v>
      </c>
      <c r="C46" s="2" t="s">
        <v>194</v>
      </c>
      <c r="D46" s="5" t="s">
        <v>458</v>
      </c>
      <c r="E46" s="2" t="s">
        <v>424</v>
      </c>
    </row>
    <row r="47" spans="1:5" ht="57" customHeight="1" x14ac:dyDescent="0.3">
      <c r="A47" s="2" t="s">
        <v>62</v>
      </c>
      <c r="B47" s="2" t="s">
        <v>193</v>
      </c>
      <c r="C47" s="2" t="s">
        <v>194</v>
      </c>
      <c r="D47" s="5" t="s">
        <v>459</v>
      </c>
      <c r="E47" s="2" t="s">
        <v>424</v>
      </c>
    </row>
    <row r="48" spans="1:5" ht="57" customHeight="1" x14ac:dyDescent="0.3">
      <c r="A48" s="2" t="s">
        <v>119</v>
      </c>
      <c r="B48" s="2" t="s">
        <v>193</v>
      </c>
      <c r="C48" s="2" t="s">
        <v>194</v>
      </c>
      <c r="D48" s="5" t="s">
        <v>460</v>
      </c>
      <c r="E48" s="2" t="s">
        <v>424</v>
      </c>
    </row>
    <row r="49" spans="1:5" ht="57" customHeight="1" x14ac:dyDescent="0.3">
      <c r="A49" s="2" t="s">
        <v>415</v>
      </c>
      <c r="B49" s="2" t="s">
        <v>193</v>
      </c>
      <c r="C49" s="2" t="s">
        <v>194</v>
      </c>
      <c r="D49" s="5" t="s">
        <v>461</v>
      </c>
      <c r="E49" s="2" t="s">
        <v>429</v>
      </c>
    </row>
    <row r="50" spans="1:5" ht="57" customHeight="1" x14ac:dyDescent="0.3">
      <c r="A50" s="2" t="s">
        <v>420</v>
      </c>
      <c r="B50" s="2" t="s">
        <v>193</v>
      </c>
      <c r="C50" s="2" t="s">
        <v>194</v>
      </c>
      <c r="D50" s="5" t="s">
        <v>462</v>
      </c>
      <c r="E50" s="2" t="s">
        <v>424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heetViews>
  <sheetFormatPr defaultColWidth="8.6640625" defaultRowHeight="14.4" x14ac:dyDescent="0.3"/>
  <cols>
    <col min="1" max="1" width="14" customWidth="1"/>
    <col min="2" max="2" width="60" customWidth="1"/>
    <col min="3" max="3" width="10" customWidth="1"/>
    <col min="4" max="4" width="55" customWidth="1"/>
  </cols>
  <sheetData>
    <row r="1" spans="1:4" x14ac:dyDescent="0.3">
      <c r="A1" s="1" t="s">
        <v>145</v>
      </c>
      <c r="B1" s="1" t="s">
        <v>146</v>
      </c>
      <c r="C1" s="1" t="s">
        <v>147</v>
      </c>
      <c r="D1" s="1" t="s">
        <v>148</v>
      </c>
    </row>
    <row r="2" spans="1:4" x14ac:dyDescent="0.3">
      <c r="A2" s="3" t="s">
        <v>149</v>
      </c>
      <c r="B2" s="3" t="s">
        <v>150</v>
      </c>
      <c r="C2" s="3">
        <f t="shared" ref="C2:C13" si="0">LEN(B2)</f>
        <v>4</v>
      </c>
      <c r="D2" s="3" t="s">
        <v>151</v>
      </c>
    </row>
    <row r="3" spans="1:4" x14ac:dyDescent="0.3">
      <c r="A3" s="3" t="s">
        <v>152</v>
      </c>
      <c r="B3" s="3" t="s">
        <v>153</v>
      </c>
      <c r="C3" s="3">
        <f t="shared" si="0"/>
        <v>5</v>
      </c>
      <c r="D3" s="3" t="s">
        <v>154</v>
      </c>
    </row>
    <row r="4" spans="1:4" x14ac:dyDescent="0.3">
      <c r="A4" s="3" t="s">
        <v>155</v>
      </c>
      <c r="B4" s="3" t="s">
        <v>156</v>
      </c>
      <c r="C4" s="3">
        <f t="shared" si="0"/>
        <v>100</v>
      </c>
      <c r="D4" s="3" t="s">
        <v>157</v>
      </c>
    </row>
    <row r="5" spans="1:4" x14ac:dyDescent="0.3">
      <c r="A5" s="3" t="s">
        <v>158</v>
      </c>
      <c r="B5" s="3" t="s">
        <v>159</v>
      </c>
      <c r="C5" s="3">
        <f t="shared" si="0"/>
        <v>101</v>
      </c>
      <c r="D5" s="3" t="s">
        <v>160</v>
      </c>
    </row>
    <row r="6" spans="1:4" x14ac:dyDescent="0.3">
      <c r="A6" s="3" t="s">
        <v>161</v>
      </c>
      <c r="B6" s="3" t="s">
        <v>162</v>
      </c>
      <c r="C6" s="3">
        <f t="shared" si="0"/>
        <v>19</v>
      </c>
      <c r="D6" s="3" t="s">
        <v>163</v>
      </c>
    </row>
    <row r="7" spans="1:4" x14ac:dyDescent="0.3">
      <c r="A7" s="3" t="s">
        <v>164</v>
      </c>
      <c r="B7" s="3" t="s">
        <v>165</v>
      </c>
      <c r="C7" s="3">
        <f t="shared" si="0"/>
        <v>20</v>
      </c>
      <c r="D7" s="3" t="s">
        <v>166</v>
      </c>
    </row>
    <row r="8" spans="1:4" x14ac:dyDescent="0.3">
      <c r="A8" s="3" t="s">
        <v>167</v>
      </c>
      <c r="B8" s="3" t="s">
        <v>168</v>
      </c>
      <c r="C8" s="3">
        <f t="shared" si="0"/>
        <v>2000</v>
      </c>
      <c r="D8" s="3" t="s">
        <v>169</v>
      </c>
    </row>
    <row r="9" spans="1:4" x14ac:dyDescent="0.3">
      <c r="A9" s="3" t="s">
        <v>170</v>
      </c>
      <c r="B9" s="3" t="s">
        <v>171</v>
      </c>
      <c r="C9" s="3">
        <f t="shared" si="0"/>
        <v>2001</v>
      </c>
      <c r="D9" s="3" t="s">
        <v>172</v>
      </c>
    </row>
    <row r="10" spans="1:4" x14ac:dyDescent="0.3">
      <c r="A10" s="3" t="s">
        <v>173</v>
      </c>
      <c r="B10" s="3" t="s">
        <v>174</v>
      </c>
      <c r="C10" s="3">
        <f t="shared" si="0"/>
        <v>10</v>
      </c>
      <c r="D10" s="3" t="s">
        <v>175</v>
      </c>
    </row>
    <row r="11" spans="1:4" x14ac:dyDescent="0.3">
      <c r="A11" s="3" t="s">
        <v>176</v>
      </c>
      <c r="B11" s="3" t="s">
        <v>177</v>
      </c>
      <c r="C11" s="3">
        <f t="shared" si="0"/>
        <v>11</v>
      </c>
      <c r="D11" s="3" t="s">
        <v>178</v>
      </c>
    </row>
    <row r="12" spans="1:4" x14ac:dyDescent="0.3">
      <c r="A12" s="3" t="s">
        <v>179</v>
      </c>
      <c r="B12" s="3" t="s">
        <v>180</v>
      </c>
      <c r="C12" s="3">
        <f t="shared" si="0"/>
        <v>21</v>
      </c>
      <c r="D12" s="3" t="s">
        <v>181</v>
      </c>
    </row>
    <row r="13" spans="1:4" x14ac:dyDescent="0.3">
      <c r="A13" s="3" t="s">
        <v>182</v>
      </c>
      <c r="B13" s="3" t="s">
        <v>183</v>
      </c>
      <c r="C13" s="3">
        <f t="shared" si="0"/>
        <v>22</v>
      </c>
      <c r="D13" s="3"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Test cases</vt:lpstr>
      <vt:lpstr>Coverage</vt:lpstr>
      <vt:lpstr>Review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Влад Симутин</cp:lastModifiedBy>
  <dcterms:modified xsi:type="dcterms:W3CDTF">2026-10-29T12:34:11Z</dcterms:modified>
</cp:coreProperties>
</file>