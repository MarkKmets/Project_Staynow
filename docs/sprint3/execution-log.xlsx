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syrot\AppData\Local\Temp\Rar$DIa33620.28305.rartemp\"/>
    </mc:Choice>
  </mc:AlternateContent>
  <xr:revisionPtr revIDLastSave="0" documentId="13_ncr:1_{1A215281-9460-47FD-9C83-7887DF5BA51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Run 1" sheetId="1" r:id="rId1"/>
    <sheet name="Environment" sheetId="2" r:id="rId2"/>
    <sheet name="Summary" sheetId="3" r:id="rId3"/>
    <sheet name="Exploratory 30.10" sheetId="5" r:id="rId4"/>
    <sheet name="Run 2 — retest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3" i="3" l="1"/>
  <c r="B22" i="3"/>
  <c r="B21" i="3"/>
  <c r="B20" i="3"/>
  <c r="B19" i="3"/>
  <c r="B18" i="3"/>
  <c r="B12" i="3"/>
  <c r="B11" i="3"/>
  <c r="B10" i="3"/>
  <c r="B9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<sst xmlns="http://schemas.openxmlformats.org/spreadsheetml/2006/main" count="670" uniqueCount="280">
  <si>
    <t>Run</t>
  </si>
  <si>
    <t>TC-ID</t>
  </si>
  <si>
    <t>Дата</t>
  </si>
  <si>
    <t>Виконавець</t>
  </si>
  <si>
    <t>Середовище</t>
  </si>
  <si>
    <t>Статус</t>
  </si>
  <si>
    <t>Bug ID</t>
  </si>
  <si>
    <t>Коментар</t>
  </si>
  <si>
    <t>Run 1</t>
  </si>
  <si>
    <t>TC-001</t>
  </si>
  <si>
    <t>2026-10-28</t>
  </si>
  <si>
    <t>Сирота Володимир</t>
  </si>
  <si>
    <t>Windows 11; Google Chrome (версія не зафіксована); Incognito; automationintesting.online</t>
  </si>
  <si>
    <t>passed</t>
  </si>
  <si>
    <t>Усі очікувані результати виконано; відхилень не виявлено.</t>
  </si>
  <si>
    <t>TC-002</t>
  </si>
  <si>
    <t>Кнопка Check Availability присутня; доступна після прокручування сторінки. Дефект не підтверджено.</t>
  </si>
  <si>
    <t>TC-003</t>
  </si>
  <si>
    <t>За повідомленням виконавця всі кроки пройдено без виявлених дефектів.</t>
  </si>
  <si>
    <t>TC-004</t>
  </si>
  <si>
    <t>TC-005</t>
  </si>
  <si>
    <t>TC-006</t>
  </si>
  <si>
    <t>blocked</t>
  </si>
  <si>
    <t>TC-007</t>
  </si>
  <si>
    <t>TC-008</t>
  </si>
  <si>
    <t>TC-009</t>
  </si>
  <si>
    <t>TC-010</t>
  </si>
  <si>
    <t>TC-011</t>
  </si>
  <si>
    <t>TC-012</t>
  </si>
  <si>
    <t>failed</t>
  </si>
  <si>
    <t>BUG-002</t>
  </si>
  <si>
    <t>Check-in = Check-out = 21.12.2026. Після Check Availability перехід до Our Rooms без очікуваної помилки про однакові дати; список візуально незмінний.</t>
  </si>
  <si>
    <t>TC-013</t>
  </si>
  <si>
    <t>BUG-003</t>
  </si>
  <si>
    <t>Check-in встановлено на попередній день, Check-out на поточний. Після Check Availability перехід до Our Rooms без очікуваного повідомлення про минулу дату.</t>
  </si>
  <si>
    <t>TC-014</t>
  </si>
  <si>
    <t>Сімутін Владислав</t>
  </si>
  <si>
    <t>Після вибору дат і Check Availability перехід до Our Rooms; список візуально незмінний. За підтвердженням виконавця тест-кейс пройдено.</t>
  </si>
  <si>
    <t>TC-015</t>
  </si>
  <si>
    <t>TC-016</t>
  </si>
  <si>
    <t>TC-017</t>
  </si>
  <si>
    <t>Після Check Availability перехід до Our Rooms; список візуально незмінний. За підтвердженням виконавця тест-кейс пройдено.</t>
  </si>
  <si>
    <t>TC-018</t>
  </si>
  <si>
    <t>TC-019</t>
  </si>
  <si>
    <t>TC-020</t>
  </si>
  <si>
    <t>TC-021</t>
  </si>
  <si>
    <t>TC-022</t>
  </si>
  <si>
    <t>TC-023</t>
  </si>
  <si>
    <t>TC-024</t>
  </si>
  <si>
    <t>Усі кроки виконано; фактичні результати відповідають очікуваним.</t>
  </si>
  <si>
    <t>TC-025</t>
  </si>
  <si>
    <t>TC-026</t>
  </si>
  <si>
    <t>BUG-005</t>
  </si>
  <si>
    <t>Коректно заповнена форма після надсилання показала помилку замість очікуваного повідомлення подяки.</t>
  </si>
  <si>
    <t>TC-027</t>
  </si>
  <si>
    <t>Тіньков Данило</t>
  </si>
  <si>
    <t>TC-028</t>
  </si>
  <si>
    <t>TC-029</t>
  </si>
  <si>
    <t>TC-030</t>
  </si>
  <si>
    <t>TC-031</t>
  </si>
  <si>
    <t>TC-032</t>
  </si>
  <si>
    <t>TC-033</t>
  </si>
  <si>
    <t>TC-034</t>
  </si>
  <si>
    <t>TC-035</t>
  </si>
  <si>
    <t>Перевірка некоректного пароля: відмовлено у вході; BUG-006 стосується Logout (TC-037).</t>
  </si>
  <si>
    <t>TC-036</t>
  </si>
  <si>
    <t>TC-037</t>
  </si>
  <si>
    <t>BUG-006, BUG-011</t>
  </si>
  <si>
    <t>Крок 5: після «Logout» відкривається головна сторінка замість «Login» (BUG-006). Крок 6: після «Назад» відкрито сторінку з даними адмінпанелі (BUG-011).</t>
  </si>
  <si>
    <t>TC-038</t>
  </si>
  <si>
    <t>BUG-007</t>
  </si>
  <si>
    <t>Після Logout відкрито URL Messages в новому вікні інкогніто; за спостереженням тестувальника сторінка залишилася доступною.</t>
  </si>
  <si>
    <t>TC-039</t>
  </si>
  <si>
    <t>BUG-008, BUG-009</t>
  </si>
  <si>
    <t>Крок 8: у «Our Rooms» нова картка не з’явилася. Крок 9: видалення номера не спрацювало, рядок залишився. Статус виправлено з passed на failed (30.10.2026): початковий passed суперечив коментарю TC-040 і Run 2 (TC-039 failed).</t>
  </si>
  <si>
    <t>TC-040</t>
  </si>
  <si>
    <t>Нова картка не з’явилася в Our Rooms; видалення рядка не спрацювало — рядок залишився. Можливі два окремі дефекти.</t>
  </si>
  <si>
    <t>TC-041</t>
  </si>
  <si>
    <t>Кмець Марк</t>
  </si>
  <si>
    <t>Windows 11; Microsoft Edge (версія не зафіксована); InPrivate; automationintesting.online</t>
  </si>
  <si>
    <t>TC-042</t>
  </si>
  <si>
    <t>Запис Run 1 недійсний: виконавець помилково вважав відсутність BR-902 блокером, тоді як кейс сам створює BR-902 і очікує відмови (помилка біля поля ціни, рядка BR-902 у списку немає). Кейс потрібно виконати повторно (рядок у «Run 2 — retest»).</t>
  </si>
  <si>
    <t>TC-043</t>
  </si>
  <si>
    <t>TC-044</t>
  </si>
  <si>
    <t>TC-045</t>
  </si>
  <si>
    <t>TC-046</t>
  </si>
  <si>
    <t>TC-047</t>
  </si>
  <si>
    <t>TC-048</t>
  </si>
  <si>
    <t>BUG-010</t>
  </si>
  <si>
    <t>Виконано в Edge InPrivate, хоча передумова кейса — Chrome 375 × 667: відхилення від передумови. Крок 5: після «Book now» у першій картці нескінченне завантаження; бронювання не завершилося.</t>
  </si>
  <si>
    <t>TC-049</t>
  </si>
  <si>
    <t>Первинний прогін виконано в Edge InPrivate, передумова кейса — Firefox 375 × 667 (відхилення). Крок 5: нескінченне завантаження. Повторний прогін у Firefox дав той самий результат (Run 2).</t>
  </si>
  <si>
    <t>Параметр</t>
  </si>
  <si>
    <t>Значення</t>
  </si>
  <si>
    <t>Адреса demo</t>
  </si>
  <si>
    <t>https://automationintesting.online</t>
  </si>
  <si>
    <t>Дата стану demo (день прогону)</t>
  </si>
  <si>
    <t>Браузер 1 (версія)</t>
  </si>
  <si>
    <t>Google Chrome; версія не зафіксована; Incognito (TC-001–TC-040)</t>
  </si>
  <si>
    <t>Браузер 2 (версія)</t>
  </si>
  <si>
    <t>Microsoft Edge; версія не зафіксована; InPrivate (TC-041–TC-049)</t>
  </si>
  <si>
    <t>ОС</t>
  </si>
  <si>
    <t>Windows 11 (усі виконавці)</t>
  </si>
  <si>
    <t>Адмінпанель</t>
  </si>
  <si>
    <t>https://automationintesting.online/admin ; обліковий запис admin / password (спільний, пароль не змінювати)</t>
  </si>
  <si>
    <t>Гість</t>
  </si>
  <si>
    <t>без облікового запису; вигадані дані: Ivan Testenko, ivan.testenko@example.com, 01234567890</t>
  </si>
  <si>
    <t>Підготовка даних demo (до прогону; це не тест-кейси)</t>
  </si>
  <si>
    <t>Створює Інженер з тестування в адмінпанелі; результат записати нижче</t>
  </si>
  <si>
    <t>BR-201</t>
  </si>
  <si>
    <t>Single, £137, Accessible = false, зручності WiFi, TV; без бронювань</t>
  </si>
  <si>
    <t>BR-202</t>
  </si>
  <si>
    <t>Double, £149, Accessible = true, зручності WiFi, TV, Safe; бронювання 2026-12-14…2026-12-16 (гість Ostap Zaibron, ostap.zaibron@example.com, 01234567801)</t>
  </si>
  <si>
    <t>BR-203</t>
  </si>
  <si>
    <t>Suite, £151, Accessible = true, зручності WiFi, TV, Safe; без бронювань на 2026-12-28…2026-12-30</t>
  </si>
  <si>
    <t>BR-204</t>
  </si>
  <si>
    <t>Family, £163, Accessible = false, зручності WiFi, TV; без бронювань</t>
  </si>
  <si>
    <t>BR-205</t>
  </si>
  <si>
    <t>Twin, £127, Accessible = false, зручності WiFi; створюється перед TC-040 (кейс його видаляє)</t>
  </si>
  <si>
    <t>Повідомлення</t>
  </si>
  <si>
    <t>Через форму «Send Us a Message» надіслати від імені «BR Reader» (ostap.reader@example.com, 01234567890) два повідомлення з темами «BR message 001» та «BR message 002» (для TC-043, TC-044); текст — не менше 20 символів; не відкривати їх до виконання кейсів</t>
  </si>
  <si>
    <t>Унікальність цін</t>
  </si>
  <si>
    <t>Номери BR-… розрізняються за ціною в картках «Our Rooms» (137, 149, 151, 163, 127); якщо ціна збігається з чужим номером — змінити ціну і оновити кейси</t>
  </si>
  <si>
    <t>Повторний прогін (спринт 5)</t>
  </si>
  <si>
    <t>Бронювання лишаються на demo: для TC-020 використати інший вільний інтервал і зафіксувати його в журналі; BR-202 і повідомлення створити заново</t>
  </si>
  <si>
    <t>Виконавці TC-001–TC-013</t>
  </si>
  <si>
    <t>Виконавці TC-014–TC-026</t>
  </si>
  <si>
    <t>Виконавці TC-027–TC-040</t>
  </si>
  <si>
    <t>Виконавці TC-041–TC-049</t>
  </si>
  <si>
    <t>Стан підготовки даних demo (за знімками 28–29.10.2026)</t>
  </si>
  <si>
    <t>Не виконано: в адмінпанелі лише номери 101 Single £100, 102 Double £150, 103 Suite £225 (BUG-008-1.png), створено лише 104 Twin £127 WiFi; розділ Messages містить 4 повідомлення (James Dean і три від Ostap Test), «BR message 001/002» немає (BUG-007-3.png); BR-201…BR-205 і бронювання BR-202 відсутні. Кейси, що їх потребують, мають статус blocked.</t>
  </si>
  <si>
    <t>Поле «Room #» на demo</t>
  </si>
  <si>
    <t>У формі створення номера поле має підпис «Room #»; створені команди номери мають вигляд 104. Чи приймає поле текст «BR-901», «BR-205» — не перевірено (скриншот BUG-008-2.png: «Failed to create room»). Це впливає на TC-039…TC-042.</t>
  </si>
  <si>
    <t>Версії браузерів</t>
  </si>
  <si>
    <t>Chrome — chrome://version; Edge — edge://settings/help; Firefox — about:support. Не зафіксовано під час прогону; внести до Environment і до рядків журналу.</t>
  </si>
  <si>
    <t>Показник (Run 1, 28.10.2026)</t>
  </si>
  <si>
    <t>Кейсів усього</t>
  </si>
  <si>
    <t>skipped</t>
  </si>
  <si>
    <t>Без статусу (потрібне повторне виконання)</t>
  </si>
  <si>
    <t>Контроль зв’язків</t>
  </si>
  <si>
    <t>Кількість</t>
  </si>
  <si>
    <t>failed з Bug ID</t>
  </si>
  <si>
    <t>failed без Bug ID (має бути 0)</t>
  </si>
  <si>
    <t>blocked без Bug ID (причина в коментарі)</t>
  </si>
  <si>
    <t>passed з Bug ID (має бути 0)</t>
  </si>
  <si>
    <t>Крок 3: картки «£137 per night» (BR-201) немає: BR-201 на demo не створено (в адмінпанелі лише 101 Single £100, 102 Double £150, 103 Suite £225). Передумова не виконана, перевірку не виконано. Початковий статус failed / BUG-001 скасовано: тариф £137 не задано SRS 1.1, BUG-001 відхилено.
Стан/обмеження на 30.10.2026 (не змінює історичного статусу): Не створено BR-201, а нові номери не показуються в Our Rooms (BUG-008); для цього кейсу Book now не є основним кроком.</t>
  </si>
  <si>
    <t>Крок 5: картки «£137 per night» (BR-201) немає, крок 6 (перехід за «Book now» із датами в URL) недосяжний. Початковий passed змінено: очікуваний результат кроків 5–6 не досягнуто, передумова (BR-201) не виконана.
Стан/обмеження на 30.10.2026 (не змінює історичного статусу): Не створено/не видно BR-201 (BUG-008); після Book now перехід на Reservation не завершується (BUG-010).</t>
  </si>
  <si>
    <t>Крок 5: серед карток немає «£137 per night» і «£149 per night» (BR-201, BR-202 не створено); повідомлення про помилку відсутнє, як і очікується. Перевірку списку не виконано. Початковий статус failed / BUG-001 скасовано (BUG-001 відхилено).
Стан/обмеження на 30.10.2026 (не змінює історичного статусу): Немає підготовлених BR-201/BR-202; нові номери не відображаються в Our Rooms (BUG-008).</t>
  </si>
  <si>
    <t>Check-in і Check-out автоматично заповнюються поточною та наступною датами, очистити їх неможливо. Перевірку валідації порожніх дат виконати не вдалося.
Стан/обмеження на 30.10.2026 (не змінює історичного статусу): Дати автоматично заповнюються, неможливо виконати сценарій із порожніми датами; BUG-010 тут не стосується.</t>
  </si>
  <si>
    <t>Передумова не виконана: BR-202 і бронювання 2026-12-14…2026-12-16 не створено, тому відсутність картки «£149 per night» не є результатом перевірки F-40 / BL-70. Початковий passed змінено.
Стан/обмеження на 30.10.2026 (не змінює історичного статусу): Потрібного BR-202 з бронюванням 14–16.12.2026 немає; бронювання через Book now блокує BUG-010.</t>
  </si>
  <si>
    <t>Передумова не виконана: BR-202 (£149) і бронювання 2026-12-14…2026-12-16 не створено; картки «£149 per night» немає. Початковий статус failed / BUG-004 скасовано (BUG-004 відхилено: тариф £149 не задано SRS 1.1).
Стан/обмеження на 30.10.2026 (не змінює історичного статусу): Немає BR-202/бронювання 14–16.12.2026; налаштування броні через Book now блокує BUG-010.</t>
  </si>
  <si>
    <t>Передумова не виконана: BR-202 (£149) не створено, крок 2 недосяжний, до сторінки номера не дійшли. Посилання на BUG-004 прибрано (BUG-004 відхилено).
Стан/обмеження на 30.10.2026 (не змінює історичного статусу): Немає картки BR-202 (BUG-008); на доступній картці Book now веде до сторінки з індикатором (BUG-010).</t>
  </si>
  <si>
    <t>Передумова не виконана: BR-201 (£137) не створено, картки немає; до «Price Summary» не дійшли.
Стан/обмеження на 30.10.2026 (не змінює історичного статусу): Немає BR-201 (BUG-008); Book now не відкриває Price Summary (BUG-010).</t>
  </si>
  <si>
    <t>Передумова не виконана: BR-203 (£151) не створено, картки немає; до бронювання не дійшли.
Стан/обмеження на 30.10.2026 (не змінює історичного статусу): Немає BR-203 (BUG-008); Book now не відкриває форму бронювання (BUG-010).</t>
  </si>
  <si>
    <t>Передумова не виконана: BR-204 (£163) не створено, картки немає; до форми бронювання не дійшли.
Стан/обмеження на 30.10.2026 (не змінює історичного статусу): Немає BR-204 (BUG-008); Book now не відкриває форму Cancel (BUG-010).</t>
  </si>
  <si>
    <t>Передумова не виконана: BR-204 (£163) не створено, картки немає; до кнопки «Reserve Now» не дійшли.
Стан/обмеження на 30.10.2026 (не змінює історичного статусу): Немає BR-204 (BUG-008); Book now не відкриває Reserve Now (BUG-010).</t>
  </si>
  <si>
    <t>Передумова не виконана: BR-204 (£163) не створено, картки немає; до перевірки email не дійшли.
Стан/обмеження на 30.10.2026 (не змінює історичного статусу): Немає BR-204 (BUG-008); Book now не відкриває форму Email (BUG-010).</t>
  </si>
  <si>
    <t>Немає BR message 001; тестові дані не підготовлені. Причину відсутності повідомлення потрібно уточнити.
Стан/обмеження на 30.10.2026 (не змінює історичного статусу): Не створено потрібне BR message 001; додатково спостережено BUG-014 — наявні повідомлення не відкриваються, але TC-043 окремо не виконано.</t>
  </si>
  <si>
    <t>Немає BR message 002; тестові дані не підготовлені. Причину відсутності повідомлення потрібно уточнити.
Стан/обмеження на 30.10.2026 (не змінює історичного статусу): Не створено потрібне BR message 002; BUG-010 не стосується, видалення повідомлення не перевірено.</t>
  </si>
  <si>
    <t>Передумова не виконана: BR-202 і бронювання 2026-12-14…2026-12-16 не створено (на demo немає такого номера), звіт за грудень 2026 перевірити неможливо. Посилання на BUG-010 прибрано: причина блокування — відсутні дані.
Стан/обмеження на 30.10.2026 (не змінює історичного статусу): Не створено бронювання BR-202 на грудень; оформлення бронювання через Book now блокує BUG-010. Звіт для іншого існуючого бронювання перевірено поза TC-045.</t>
  </si>
  <si>
    <t>Тіньков Данііл</t>
  </si>
  <si>
    <t>Уточнення стану demo 30.10.2026</t>
  </si>
  <si>
    <t>Успішно створено BR-205 (Twin, false, £127, WiFi), скриншот BUG-008-5.png. Створення BR-201…BR-204, бронювання BR-202, повідомлень «BR message 001/002» не підтверджено. Відновлення blocked-кейсів ще не проведене.</t>
  </si>
  <si>
    <t>Текстові Room # — перевірка 30.10.2026</t>
  </si>
  <si>
    <t>Поле Room # прийняло BR-205. Попередній стан у рядку 24 є історичним станом на 28–29 жовтня.</t>
  </si>
  <si>
    <t>Спостереження поза Run 1/2</t>
  </si>
  <si>
    <t>BUG-012/013 очікують уточнення вимог, BUG-014 пов’язаний з F-100. Run 2 відновлено (11 записів 29.10 + TC-042 від 30.10); інші перевірки 30.10 — аркуш «Exploratory 30.10».</t>
  </si>
  <si>
    <t>Версії браузерів: дата скриншотів</t>
  </si>
  <si>
    <t>30.10.2026; ці дані не підтверджують версії історичного Run 1 (28.10.2026)</t>
  </si>
  <si>
    <t>Google Chrome (64-bit)</t>
  </si>
  <si>
    <t>156.0.8078.80; attachments/browser-versions/Chrome-156.0.8078.80.png</t>
  </si>
  <si>
    <t>Mozilla Firefox (64-bit)</t>
  </si>
  <si>
    <t>159.0; attachments/browser-versions/Firefox-159.0.png</t>
  </si>
  <si>
    <t>Microsoft Edge (64-bit)</t>
  </si>
  <si>
    <t>156.0.4314.56; attachments/browser-versions/Edge-156.0.4314.56.png</t>
  </si>
  <si>
    <t>Примітка про середовище</t>
  </si>
  <si>
    <t>Версії зафіксовані на 30.10.2026. Виконання кожного TC в усіх трьох браузерах не підтверджено.</t>
  </si>
  <si>
    <t>Повідомлення для TC-043/044: стан 30.10</t>
  </si>
  <si>
    <t>На demo створено BR Reader / BR message 001 (декілька екземплярів) і BR Reader / BR message 002; підтверджено BUG-014-3.png. Попередній рядок 26 — історичний стан до створення.</t>
  </si>
  <si>
    <t>TC-043 повторний прогін</t>
  </si>
  <si>
    <t>30.10, failed (BUG-014), відкриття BR message 001 не відбувається за повідомленням виконавця; статичний доказ не показує клік.</t>
  </si>
  <si>
    <t>TC-044 підготовка / перевірка</t>
  </si>
  <si>
    <t>BR message 002 існує; видалення повідомлень загалом не працює за повідомленням виконавця (кандидат BUG-018). Для формального повторного прогону TC-044 потрібна пара знімків саме BR message 002 до/після × та F5.</t>
  </si>
  <si>
    <t>Пояснення Blocked / історія перевірок</t>
  </si>
  <si>
    <t>Причини в Run 1; нові спостереження — Exploratory; повторні записи — Run 2</t>
  </si>
  <si>
    <t>Історичний Run 1</t>
  </si>
  <si>
    <t>24 passed / 9 failed / 15 blocked / 1 без статусу на 28.10.2026; показники вище — формули</t>
  </si>
  <si>
    <t>Run 2 — повторні перевірки (29–30.10.2026)</t>
  </si>
  <si>
    <t>Кейсів із результатом</t>
  </si>
  <si>
    <t>Примітка</t>
  </si>
  <si>
    <t>Run 2: 11 історичних перевірок 29.10 + TC-042, TC-002, TC-043, TC-044 (failed, BUG-018, крок 6) 30.10; Run 1 без змін.</t>
  </si>
  <si>
    <t>Спостереження / вимога</t>
  </si>
  <si>
    <t>Фактичний результат</t>
  </si>
  <si>
    <t>Облік у нормативі</t>
  </si>
  <si>
    <t>Докази / обмеження</t>
  </si>
  <si>
    <t>2026-10-30</t>
  </si>
  <si>
    <t>BUG-008</t>
  </si>
  <si>
    <t>Повторна перевірка F-90: створений BR-205</t>
  </si>
  <si>
    <t>BR-205 створено; за повідомленням виконавця не з'являється в Our Rooms</t>
  </si>
  <si>
    <t>Існуючий дефект, не рахувати вдруге</t>
  </si>
  <si>
    <t>BUG-008-5.png — створений BR-205; немає окремого скриншота Our Rooms для цього номера</t>
  </si>
  <si>
    <t>BUG-009</t>
  </si>
  <si>
    <t>Повторна перевірка F-90: видалення BR-205</t>
  </si>
  <si>
    <t>Хрестик не видаляє BR-205, після оновлення рядок залишається (за повідомленням виконавця)</t>
  </si>
  <si>
    <t>BUG-009-3.png; BUG-009-4.png («до»); BUG-009-5.png («після»), клік на статичних кадрах не показано</t>
  </si>
  <si>
    <t>BUG-012</t>
  </si>
  <si>
    <t>Сторінка деталей /admin/room/3; F-90 лише непрямо</t>
  </si>
  <si>
    <t>У деталей номера 103 поля Room, Type, Price порожні, Features порожній, image undefined</t>
  </si>
  <si>
    <t>Не рахувати до уточнення вимоги</t>
  </si>
  <si>
    <t>BUG-012-1.png, BUG-012-2.png; окрема сторінка не прописана у SRS v1.0</t>
  </si>
  <si>
    <t>BUG-013</t>
  </si>
  <si>
    <t>Update у /admin/room/4; редагування не описано SRS</t>
  </si>
  <si>
    <t>Після Update An unexpected error occurred; зміни не збережено (слова виконавця)</t>
  </si>
  <si>
    <t>BUG-013-1.png; немає знімка списку після Update</t>
  </si>
  <si>
    <t>BUG-014</t>
  </si>
  <si>
    <t>F-100: повідомлення не відкривається; пов'язане з TC-043</t>
  </si>
  <si>
    <t>Клік на повідомлення не відкриває його після входу (слова виконавця)</t>
  </si>
  <si>
    <t>Зараховано попередньо як 9-й; очікує рев'ю</t>
  </si>
  <si>
    <t>BUG-014-1.png; BUG-014-2.png — список з Logout, клік не знятий на відео, TC-043 blocked</t>
  </si>
  <si>
    <t>BUG-015</t>
  </si>
  <si>
    <t>F-70: помилки форми Contact під кнопкою Submit; пов'язано з TC-027…TC-033</t>
  </si>
  <si>
    <t>Форма відхилила некоректні поля, але червоний блок з 4 помилками виведено ПІД Submit, замість НАД кнопкою (F-70 SRS v1.0)</t>
  </si>
  <si>
    <t>Попередньо 10-й за SRS; очікує рев'ю та звірки з SRS 1.1</t>
  </si>
  <si>
    <t>BUG-015-1.png — скриншот форми; не підмінює Run 1 TC-027…TC-033</t>
  </si>
  <si>
    <t>Після Book now не завантажується сторінка reservation; пов'язано з F-20/F-50</t>
  </si>
  <si>
    <t>Після відкриття /reservation/1?... лишається індикатор завантаження; форму не відкрито</t>
  </si>
  <si>
    <t>Існуючий дефект; не рахувати вдруге</t>
  </si>
  <si>
    <t>BUG-010-2.png (до), BUG-010-3.png (індикатор); точний час очікування не зафіксовано</t>
  </si>
  <si>
    <t>BUG-017 / TC-042</t>
  </si>
  <si>
    <t>Перевірка F-90 / GUI-60: відхилення ціни 0 й розташування помилки при Create</t>
  </si>
  <si>
    <t>Ціна 0 → «must be greater than or equal to 1»; помилка з’явилася під Create, а не над кнопкою (BUG-017); сам номер у списку після Create не перевірено.</t>
  </si>
  <si>
    <t>BUG-017 — окремий кандидат на порушення SRS 1.1; Run 2 TC-042 failed; очікує рецензування</t>
  </si>
  <si>
    <t>attachments/BUG-017-1.png (копія TC-042-price0.png); фактичний Room # test0 замість BR-902</t>
  </si>
  <si>
    <t>Blocked (15 TC)</t>
  </si>
  <si>
    <t>Загальне обмеження demo для тестів бронювання</t>
  </si>
  <si>
    <t>BUG-010 заважає відкривати Reservation / Reserve Now; BR-201…204 не відображаються (BUG-008); бракує BR-202 booking та повідомлень</t>
  </si>
  <si>
    <t>Статуси Run 1 історично незмінні</t>
  </si>
  <si>
    <t>Розподіл за кейсами в H-колонці Run 1; не всі блокери викликані BUG-010</t>
  </si>
  <si>
    <t>ENV-001</t>
  </si>
  <si>
    <t>Фіксація версій браузерів для досьє (не тест-кейс)</t>
  </si>
  <si>
    <t>Chrome 156.0.8078.80; Firefox 159.0; Edge 156.0.4314.56; Windows 11 (за матеріалами команди)</t>
  </si>
  <si>
    <t>Надані скриншоти сторінок About трьох браузерів; функціональні тести в усіх трьох не проводилися в межах цієї дії</t>
  </si>
  <si>
    <t>Не враховувати у 10 дефектів і статистиці Run 1</t>
  </si>
  <si>
    <t>attachments/browser-versions/Chrome-156.0.8078.80.png; Firefox-159.0.png; Edge-156.0.4314.56.png</t>
  </si>
  <si>
    <t>Run 2</t>
  </si>
  <si>
    <t>2026-10-29</t>
  </si>
  <si>
    <t>Учасник команди (ім'я не зафіксовано)</t>
  </si>
  <si>
    <t>StayNow demo; браузер/версія 29.10 не зафіксовані</t>
  </si>
  <si>
    <t>Повторно: у публічному списку Single £100, Double £150, Suite £225; картки £137 (BR-201) немає, бо номер не створено. BUG-001 відхилено: тариф £149 не задано SRS 1.1.</t>
  </si>
  <si>
    <t>Check-in=Check-out=29.10.2026; показано Our Rooms.</t>
  </si>
  <si>
    <t>Check-in 28.10.2026 прийнято 29.10.2026; показано Our Rooms.</t>
  </si>
  <si>
    <t>Повторно: у публічному списку £100, £150, £225; картки £149 (BR-202) немає, бо номер і бронювання не створено. BUG-004 відхилено.</t>
  </si>
  <si>
    <t>Контактну форму з граничними даними (Subject 100, Message 2000, Phone 21) надіслано; показано подяку «Thanks for getting in touch Ostap Test!». Первинну помилку Run 1 не відтворено (BUG-005: Cannot Reproduce).</t>
  </si>
  <si>
    <t>StayNow; Chrome Incognito; версію 29.10 не зафіксовано</t>
  </si>
  <si>
    <t>BUG-006</t>
  </si>
  <si>
    <t>Logout перенаправляє на головну замість Login; порушення F-85 підтверджено.</t>
  </si>
  <si>
    <t>StayNow; нове Chrome Incognito; версію 29.10 не зафіксовано</t>
  </si>
  <si>
    <t>У новому вікні Chrome Incognito без входу безпосередньо відкрито /admin/message; відображено повідомлення. Порушено S-10 та F-85.</t>
  </si>
  <si>
    <t>У адмінпанелі створено 104 (Twin, £127, WiFi), проте на скриншоті Our Rooms відображено лише Single, Double, Suite; 104 відсутній. F-90.</t>
  </si>
  <si>
    <t>Після натискання × створений 104 (Twin, £127) не видаляється. За уточненням команди така сама поведінка для тестового BR-205 (Twin, £127). F-90. Доказ 30.10: BUG-009-4/5.png (BR-205 до і після натискання ×).</t>
  </si>
  <si>
    <t>За повідомленням тестувальника після Book Now виникає нескінченне завантаження; повторний результат TC-048. Додатковий доказ 30.10: BUG-010-2/3.png (Chrome Incognito; версію зафіксовано окремо).</t>
  </si>
  <si>
    <t>Кмець Марк (підтвердження команди)</t>
  </si>
  <si>
    <t>Windows 11; Mozilla Firefox (версія 29.10 не зафіксована)</t>
  </si>
  <si>
    <t>Повторний прогін у Firefox дав такий самий результат: нескінченне завантаження після Book Now.</t>
  </si>
  <si>
    <t>Сирота Володимир (перевірка зі скриншота)</t>
  </si>
  <si>
    <t>StayNow demo; браузер на кадрі не визначається (версія не зафіксована)</t>
  </si>
  <si>
    <t>BUG-017</t>
  </si>
  <si>
    <t>TC-042, крок 7 чинної редакції (у первинному протоколі — 6), перевірка 30.10: Room # test0 (замість BR-902), ціна £0, після Create показано «must be greater than or equal to 1» ПІД кнопкою Create, хоча F-90/GUI-60 SRS 1.1 вимагають НАД кнопкою; BUG-017, доказ BUG-017-1.png (також TC-042-price0.png). Ціна 0 відхилена правильно. Наявність/відсутність нового рядка окремо не зафіксовано; це часткова перевірка TC-042, але зафіксований очікуваний результат порушено.</t>
  </si>
  <si>
    <t>Windows 11; Google Chrome Incognito; demo automationintesting.online; версія Chrome окремо зафіксована 30.10 як 156.0.8078.80</t>
  </si>
  <si>
    <t>BUG-016</t>
  </si>
  <si>
    <t>Повторна перевірка TC-002, крок 4: після натискання Amenities URL став /#amenities, але екран залишився на верхньому блоці Welcome to Shady Meadows B&amp;B; прокручування до розділу зручностей не відбулося. Доказ BUG-016-1.png. Інші кроки TC-002 у цьому повторному прогоні не перевірялися.</t>
  </si>
  <si>
    <t>Windows 11; Chrome Incognito; Chrome 156.0.8078.80 за окремим знімком 30.10 (на кадрі тесту версія не видна)</t>
  </si>
  <si>
    <t>Підготовлено дані: BR Reader / BR message 001 є в Messages (BUG-014-3.png). За повідомленням виконавця, крок 8 чинної редакції (у первинному протоколі — 7) не проходить: натискання на повідомлення не відкриває його, стан непрочитаного зберігається. Скриншот разом із журналом і підтвердженням виконавця прийнято як доказ невдалого відкриття; додатковий знімок натискання не потрібен. Це документальне рецензування, не незалежний аудит. Історичний Run 1 (blocked через відсутні дані) незмінний.</t>
  </si>
  <si>
    <t>StayNow demo; Windows 11; Chrome Incognito; версія 156.0.8078.80 за окремим скриншотом 30.10</t>
  </si>
  <si>
    <t>BUG-018</t>
  </si>
  <si>
    <t>BR Reader / BR message 002 створено й видно в Messages (BUG-018-1.png). За повідомленням виконавця, натискання × у рядку повідомлення не видаляє його: рядок залишається, тому крок 7 чинної редакції TC-044 (у первинному протоколі — 6) — Failed (BUG-018). Наявні скриншоти й підтвердження виконавця прийнято як доказ результату; новий ідентичний кадр не потрібен. Окрему поведінку після F5 не перевіряли; це не змінює Failed на кроці 7 чинної редакції. Run 1 залишено як історичний blocked.</t>
  </si>
  <si>
    <t>Windows 11; Chrome; Incognito</t>
  </si>
  <si>
    <t xml:space="preserve"> Windows 11 Firefox 159.0</t>
  </si>
  <si>
    <t>Windows 11 Firefox 159.0</t>
  </si>
  <si>
    <t>Windows 11 Edge 156.0.4314.56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</si>
</sst>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\-??_);_(@_)"/>
    <numFmt numFmtId="165" formatCode="_(* #,##0_);_(* \(#,##0\);_(* \-_);_(@_)"/>
    <numFmt numFmtId="166" formatCode="_(\$* #,##0.00_);_(\$* \(#,##0.00\);_(\$* \-??_);_(@_)"/>
    <numFmt numFmtId="167" formatCode="_(\$* #,##0_);_(\$* \(#,##0\);_(\$* \-_);_(@_)"/>
  </numFmts>
  <fonts count="9" x14ac:knownFonts="1">
    <font>
      <sz val="10"/>
      <name val="Arial"/>
    </font>
    <font>
      <sz val="10"/>
      <name val="Arial"/>
    </font>
    <font>
      <sz val="11"/>
      <color theme="1"/>
      <name val="Calibri"/>
    </font>
    <font>
      <b/>
      <sz val="11"/>
      <name val="Cambria"/>
    </font>
    <font>
      <b/>
      <sz val="11"/>
      <color rgb="FFFFFFFF"/>
      <name val="Cambria"/>
    </font>
    <font>
      <b/>
      <sz val="11"/>
      <color theme="1"/>
      <name val="Calibri"/>
    </font>
    <font>
      <b/>
      <sz val="11"/>
      <color rgb="FFFFFFFF"/>
      <name val="Calibri"/>
    </font>
    <font>
      <b/>
      <sz val="10"/>
      <color rgb="FFFFFFFF"/>
      <name val="Arial"/>
    </font>
    <font>
      <b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FFC48A"/>
      </patternFill>
    </fill>
    <fill>
      <patternFill patternType="solid">
        <fgColor rgb="FF164E63"/>
      </patternFill>
    </fill>
    <fill>
      <patternFill patternType="solid">
        <fgColor rgb="FF17365D"/>
      </patternFill>
    </fill>
    <fill>
      <patternFill patternType="solid">
        <fgColor rgb="FFDCEAF7"/>
      </patternFill>
    </fill>
    <fill>
      <patternFill patternType="solid">
        <fgColor rgb="FF1B365D"/>
      </patternFill>
    </fill>
    <fill>
      <patternFill patternType="solid">
        <fgColor rgb="FF183153"/>
      </patternFill>
    </fill>
    <fill>
      <patternFill patternType="solid">
        <fgColor rgb="FFFEF3C7"/>
      </patternFill>
    </fill>
    <fill>
      <patternFill patternType="solid">
        <fgColor rgb="FFFEE2E2"/>
      </patternFill>
    </fill>
    <fill>
      <patternFill patternType="solid">
        <fgColor rgb="FFDCFCE7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7">
    <xf numFmtId="0" fontId="0" fillId="0" borderId="0"/>
    <xf numFmtId="164" fontId="1" fillId="0" borderId="0"/>
    <xf numFmtId="165" fontId="1" fillId="0" borderId="0"/>
    <xf numFmtId="166" fontId="1" fillId="0" borderId="0"/>
    <xf numFmtId="167" fontId="1" fillId="0" borderId="0"/>
    <xf numFmtId="0" fontId="2" fillId="0" borderId="0"/>
    <xf numFmtId="9" fontId="1" fillId="0" borderId="0"/>
  </cellStyleXfs>
  <cellXfs count="18">
    <xf numFmtId="0" fontId="0" fillId="0" borderId="0" xfId="0"/>
    <xf numFmtId="0" fontId="2" fillId="0" borderId="0" xfId="5" applyBorder="1"/>
    <xf numFmtId="0" fontId="3" fillId="2" borderId="1" xfId="5" applyFont="1" applyFill="1" applyBorder="1" applyAlignment="1">
      <alignment vertical="center" wrapText="1"/>
    </xf>
    <xf numFmtId="0" fontId="4" fillId="3" borderId="1" xfId="5" applyFont="1" applyFill="1" applyBorder="1" applyAlignment="1">
      <alignment vertical="center" wrapText="1"/>
    </xf>
    <xf numFmtId="0" fontId="2" fillId="0" borderId="1" xfId="5" applyFont="1" applyBorder="1" applyAlignment="1">
      <alignment vertical="top" wrapText="1"/>
    </xf>
    <xf numFmtId="0" fontId="2" fillId="0" borderId="0" xfId="5" applyFont="1" applyBorder="1" applyAlignment="1"/>
    <xf numFmtId="0" fontId="2" fillId="0" borderId="0" xfId="5" applyFont="1" applyBorder="1" applyAlignment="1">
      <alignment wrapText="1"/>
    </xf>
    <xf numFmtId="0" fontId="4" fillId="4" borderId="1" xfId="5" applyFont="1" applyFill="1" applyBorder="1" applyAlignment="1">
      <alignment vertical="center" wrapText="1"/>
    </xf>
    <xf numFmtId="0" fontId="7" fillId="6" borderId="0" xfId="5" applyFont="1" applyFill="1" applyAlignment="1">
      <alignment wrapText="1"/>
    </xf>
    <xf numFmtId="0" fontId="0" fillId="0" borderId="0" xfId="5" applyFont="1" applyAlignment="1">
      <alignment wrapText="1"/>
    </xf>
    <xf numFmtId="0" fontId="8" fillId="0" borderId="0" xfId="5" applyFont="1"/>
    <xf numFmtId="0" fontId="2" fillId="0" borderId="0" xfId="5" applyAlignment="1">
      <alignment wrapText="1"/>
    </xf>
    <xf numFmtId="0" fontId="5" fillId="5" borderId="0" xfId="5" applyFont="1" applyFill="1" applyAlignment="1">
      <alignment wrapText="1"/>
    </xf>
    <xf numFmtId="0" fontId="7" fillId="7" borderId="0" xfId="5" applyFont="1" applyFill="1"/>
    <xf numFmtId="0" fontId="0" fillId="8" borderId="0" xfId="5" applyFont="1" applyFill="1"/>
    <xf numFmtId="0" fontId="0" fillId="9" borderId="0" xfId="5" applyFont="1" applyFill="1"/>
    <xf numFmtId="0" fontId="0" fillId="10" borderId="0" xfId="5" applyFont="1" applyFill="1"/>
    <xf numFmtId="0" fontId="6" fillId="7" borderId="0" xfId="5" applyFont="1" applyFill="1"/>
  </cellXfs>
  <cellStyles count="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Normal" xfId="5" xr:uid="{00000000-0005-0000-0000-000000000000}"/>
    <cellStyle name="Percent" xfId="6" xr:uid="{00000000-0005-0000-0000-000005000000}"/>
    <cellStyle name="Звичайни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48A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7365D"/>
      <rgbColor rgb="FF339966"/>
      <rgbColor rgb="FF003300"/>
      <rgbColor rgb="FF333300"/>
      <rgbColor rgb="FF993300"/>
      <rgbColor rgb="FF993366"/>
      <rgbColor rgb="FF164E63"/>
      <rgbColor rgb="FF1632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ns0:dimension ref="A1:H50"/>
  <ns0:sheetViews>
    <ns0:sheetView workbookViewId="0">
      <ns0:pane ySplit="1" topLeftCell="A2" activePane="bottomLeft" state="frozen"/>
      <ns0:selection pane="bottomLeft" activeCell="H7" sqref="H7"/>
    </ns0:sheetView>
  </ns0:sheetViews>
  <ns0:sheetFormatPr defaultColWidth="8.7109375" defaultRowHeight="15" ns3:dyDescent="0.25"/>
  <ns0:cols>
    <ns0:col min="1" max="1" width="8" style="1" customWidth="1"/>
    <ns0:col min="2" max="2" width="10" style="1" customWidth="1"/>
    <ns0:col min="3" max="4" width="22" style="1" customWidth="1"/>
    <ns0:col min="5" max="5" width="53" style="1" customWidth="1"/>
    <ns0:col min="6" max="7" width="12" style="1" customWidth="1"/>
    <ns0:col min="8" max="8" width="100" style="1" customWidth="1"/>
  </ns0:cols>
  <ns0:sheetData>
    <ns0:row r="1" spans="1:8" ht="28.5" customHeight="1" ns3:dyDescent="0.2">
      <ns0:c r="A1" s="2" t="s">
        <ns0:v>0</ns0:v>
      </ns0:c>
      <ns0:c r="B1" s="2" t="s">
        <ns0:v>1</ns0:v>
      </ns0:c>
      <ns0:c r="C1" s="2" t="s">
        <ns0:v>2</ns0:v>
      </ns0:c>
      <ns0:c r="D1" s="2" t="s">
        <ns0:v>3</ns0:v>
      </ns0:c>
      <ns0:c r="E1" s="2" t="s">
        <ns0:v>4</ns0:v>
      </ns0:c>
      <ns0:c r="F1" s="2" t="s">
        <ns0:v>5</ns0:v>
      </ns0:c>
      <ns0:c r="G1" s="2" t="s">
        <ns0:v>6</ns0:v>
      </ns0:c>
      <ns0:c r="H1" s="3" t="s">
        <ns0:v>7</ns0:v>
      </ns0:c>
    </ns0:row>
    <ns0:row r="2" spans="1:8" ht="39.75" customHeight="1" ns3:dyDescent="0.2">
      <ns0:c r="A2" s="4" t="s">
        <ns0:v>8</ns0:v>
      </ns0:c>
      <ns0:c r="B2" s="4" t="s">
        <ns0:v>9</ns0:v>
      </ns0:c>
      <ns0:c r="C2" s="4" t="s">
        <ns0:v>10</ns0:v>
      </ns0:c>
      <ns0:c r="D2" s="4" t="s">
        <ns0:v>11</ns0:v>
      </ns0:c>
      <ns0:c r="E2" s="4" t="s">
        <ns0:v>12</ns0:v>
      </ns0:c>
      <ns0:c r="F2" s="4" t="s">
        <ns0:v>13</ns0:v>
      </ns0:c>
      <ns0:c r="G2" s="4"/>
      <ns0:c r="H2" s="4" t="s">
        <ns0:v>14</ns0:v>
      </ns0:c>
    </ns0:row>
    <ns0:row r="3" spans="1:8" ht="39.75" customHeight="1" ns3:dyDescent="0.2">
      <ns0:c r="A3" s="4" t="s">
        <ns0:v>8</ns0:v>
      </ns0:c>
      <ns0:c r="B3" s="4" t="s">
        <ns0:v>15</ns0:v>
      </ns0:c>
      <ns0:c r="C3" s="4" t="s">
        <ns0:v>10</ns0:v>
      </ns0:c>
      <ns0:c r="D3" s="4" t="s">
        <ns0:v>11</ns0:v>
      </ns0:c>
      <ns0:c r="E3" s="4" t="s">
        <ns0:v>12</ns0:v>
      </ns0:c>
      <ns0:c r="F3" s="4" t="s">
        <ns0:v>13</ns0:v>
      </ns0:c>
      <ns0:c r="G3" s="4"/>
      <ns0:c r="H3" s="4" t="s">
        <ns0:v>16</ns0:v>
      </ns0:c>
    </ns0:row>
    <ns0:row r="4" spans="1:8" ht="39.75" customHeight="1" ns3:dyDescent="0.2">
      <ns0:c r="A4" s="4" t="s">
        <ns0:v>8</ns0:v>
      </ns0:c>
      <ns0:c r="B4" s="4" t="s">
        <ns0:v>17</ns0:v>
      </ns0:c>
      <ns0:c r="C4" s="4" t="s">
        <ns0:v>10</ns0:v>
      </ns0:c>
      <ns0:c r="D4" s="4" t="s">
        <ns0:v>11</ns0:v>
      </ns0:c>
      <ns0:c r="E4" s="4" t="s">
        <ns0:v>12</ns0:v>
      </ns0:c>
      <ns0:c r="F4" s="4" t="s">
        <ns0:v>13</ns0:v>
      </ns0:c>
      <ns0:c r="G4" s="4"/>
      <ns0:c r="H4" s="4" t="s">
        <ns0:v>18</ns0:v>
      </ns0:c>
    </ns0:row>
    <ns0:row r="5" spans="1:8" ht="39.75" customHeight="1" ns3:dyDescent="0.2">
      <ns0:c r="A5" s="4" t="s">
        <ns0:v>8</ns0:v>
      </ns0:c>
      <ns0:c r="B5" s="4" t="s">
        <ns0:v>19</ns0:v>
      </ns0:c>
      <ns0:c r="C5" s="4" t="s">
        <ns0:v>10</ns0:v>
      </ns0:c>
      <ns0:c r="D5" s="4" t="s">
        <ns0:v>11</ns0:v>
      </ns0:c>
      <ns0:c r="E5" s="4" t="s">
        <ns0:v>12</ns0:v>
      </ns0:c>
      <ns0:c r="F5" s="4" t="s">
        <ns0:v>13</ns0:v>
      </ns0:c>
      <ns0:c r="G5" s="4"/>
      <ns0:c r="H5" s="4" t="s">
        <ns0:v>18</ns0:v>
      </ns0:c>
    </ns0:row>
    <ns0:row r="6" spans="1:8" ht="39.75" customHeight="1" ns3:dyDescent="0.2">
      <ns0:c r="A6" s="4" t="s">
        <ns0:v>8</ns0:v>
      </ns0:c>
      <ns0:c r="B6" s="4" t="s">
        <ns0:v>20</ns0:v>
      </ns0:c>
      <ns0:c r="C6" s="4" t="s">
        <ns0:v>10</ns0:v>
      </ns0:c>
      <ns0:c r="D6" s="4" t="s">
        <ns0:v>11</ns0:v>
      </ns0:c>
      <ns0:c r="E6" s="4" t="s">
        <ns0:v>12</ns0:v>
      </ns0:c>
      <ns0:c r="F6" s="4" t="s">
        <ns0:v>13</ns0:v>
      </ns0:c>
      <ns0:c r="G6" s="4"/>
      <ns0:c r="H6" s="4" t="s">
        <ns0:v>18</ns0:v>
      </ns0:c>
    </ns0:row>
    <ns0:row r="7" spans="1:8" ht="39.75" customHeight="1" ns3:dyDescent="0.2">
      <ns0:c r="A7" s="4" t="s">
        <ns0:v>8</ns0:v>
      </ns0:c>
      <ns0:c r="B7" s="4" t="s">
        <ns0:v>21</ns0:v>
      </ns0:c>
      <ns0:c r="C7" s="4" t="s">
        <ns0:v>10</ns0:v>
      </ns0:c>
      <ns0:c r="D7" s="4" t="s">
        <ns0:v>11</ns0:v>
      </ns0:c>
      <ns0:c r="E7" s="4" t="s">
        <ns0:v>12</ns0:v>
      </ns0:c>
      <ns0:c r="F7" s="4" t="s">
        <ns0:v>22</ns0:v>
      </ns0:c>
      <ns0:c r="G7" s="4"/>
      <ns0:c r="H7" s="4" t="s">
        <ns0:v>145</ns0:v>
      </ns0:c>
    </ns0:row>
    <ns0:row r="8" spans="1:8" ht="39.75" customHeight="1" ns3:dyDescent="0.2">
      <ns0:c r="A8" s="4" t="s">
        <ns0:v>8</ns0:v>
      </ns0:c>
      <ns0:c r="B8" s="4" t="s">
        <ns0:v>23</ns0:v>
      </ns0:c>
      <ns0:c r="C8" s="4" t="s">
        <ns0:v>10</ns0:v>
      </ns0:c>
      <ns0:c r="D8" s="4" t="s">
        <ns0:v>11</ns0:v>
      </ns0:c>
      <ns0:c r="E8" s="4" t="s">
        <ns0:v>12</ns0:v>
      </ns0:c>
      <ns0:c r="F8" s="4" t="s">
        <ns0:v>22</ns0:v>
      </ns0:c>
      <ns0:c r="G8" s="4"/>
      <ns0:c r="H8" s="4" t="s">
        <ns0:v>146</ns0:v>
      </ns0:c>
    </ns0:row>
    <ns0:row r="9" spans="1:8" ht="39.75" customHeight="1" ns3:dyDescent="0.2">
      <ns0:c r="A9" s="4" t="s">
        <ns0:v>8</ns0:v>
      </ns0:c>
      <ns0:c r="B9" s="4" t="s">
        <ns0:v>24</ns0:v>
      </ns0:c>
      <ns0:c r="C9" s="4" t="s">
        <ns0:v>10</ns0:v>
      </ns0:c>
      <ns0:c r="D9" s="4" t="s">
        <ns0:v>11</ns0:v>
      </ns0:c>
      <ns0:c r="E9" s="4" t="s">
        <ns0:v>12</ns0:v>
      </ns0:c>
      <ns0:c r="F9" s="4" t="s">
        <ns0:v>13</ns0:v>
      </ns0:c>
      <ns0:c r="G9" s="4"/>
      <ns0:c r="H9" s="4" t="s">
        <ns0:v>18</ns0:v>
      </ns0:c>
    </ns0:row>
    <ns0:row r="10" spans="1:8" ht="39.75" customHeight="1" ns3:dyDescent="0.2">
      <ns0:c r="A10" s="4" t="s">
        <ns0:v>8</ns0:v>
      </ns0:c>
      <ns0:c r="B10" s="4" t="s">
        <ns0:v>25</ns0:v>
      </ns0:c>
      <ns0:c r="C10" s="4" t="s">
        <ns0:v>10</ns0:v>
      </ns0:c>
      <ns0:c r="D10" s="4" t="s">
        <ns0:v>11</ns0:v>
      </ns0:c>
      <ns0:c r="E10" s="4" t="s">
        <ns0:v>12</ns0:v>
      </ns0:c>
      <ns0:c r="F10" s="4" t="s">
        <ns0:v>13</ns0:v>
      </ns0:c>
      <ns0:c r="G10" s="4"/>
      <ns0:c r="H10" s="4" t="s">
        <ns0:v>18</ns0:v>
      </ns0:c>
    </ns0:row>
    <ns0:row r="11" spans="1:8" ht="39.75" customHeight="1" ns3:dyDescent="0.2">
      <ns0:c r="A11" s="4" t="s">
        <ns0:v>8</ns0:v>
      </ns0:c>
      <ns0:c r="B11" s="4" t="s">
        <ns0:v>26</ns0:v>
      </ns0:c>
      <ns0:c r="C11" s="4" t="s">
        <ns0:v>10</ns0:v>
      </ns0:c>
      <ns0:c r="D11" s="4" t="s">
        <ns0:v>11</ns0:v>
      </ns0:c>
      <ns0:c r="E11" s="4" t="s">
        <ns0:v>12</ns0:v>
      </ns0:c>
      <ns0:c r="F11" s="4" t="s">
        <ns0:v>22</ns0:v>
      </ns0:c>
      <ns0:c r="G11" s="4"/>
      <ns0:c r="H11" s="4" t="s">
        <ns0:v>147</ns0:v>
      </ns0:c>
    </ns0:row>
    <ns0:row r="12" spans="1:8" ht="39.75" customHeight="1" ns3:dyDescent="0.2">
      <ns0:c r="A12" s="4" t="s">
        <ns0:v>8</ns0:v>
      </ns0:c>
      <ns0:c r="B12" s="4" t="s">
        <ns0:v>27</ns0:v>
      </ns0:c>
      <ns0:c r="C12" s="4" t="s">
        <ns0:v>10</ns0:v>
      </ns0:c>
      <ns0:c r="D12" s="4" t="s">
        <ns0:v>11</ns0:v>
      </ns0:c>
      <ns0:c r="E12" s="4" t="s">
        <ns0:v>12</ns0:v>
      </ns0:c>
      <ns0:c r="F12" s="4" t="s">
        <ns0:v>22</ns0:v>
      </ns0:c>
      <ns0:c r="G12" s="4"/>
      <ns0:c r="H12" s="4" t="s">
        <ns0:v>148</ns0:v>
      </ns0:c>
    </ns0:row>
    <ns0:row r="13" spans="1:8" ht="39.75" customHeight="1" ns3:dyDescent="0.2">
      <ns0:c r="A13" s="4" t="s">
        <ns0:v>8</ns0:v>
      </ns0:c>
      <ns0:c r="B13" s="4" t="s">
        <ns0:v>28</ns0:v>
      </ns0:c>
      <ns0:c r="C13" s="4" t="s">
        <ns0:v>10</ns0:v>
      </ns0:c>
      <ns0:c r="D13" s="4" t="s">
        <ns0:v>11</ns0:v>
      </ns0:c>
      <ns0:c r="E13" s="4" t="s">
        <ns0:v>12</ns0:v>
      </ns0:c>
      <ns0:c r="F13" s="4" t="s">
        <ns0:v>29</ns0:v>
      </ns0:c>
      <ns0:c r="G13" s="4" t="s">
        <ns0:v>30</ns0:v>
      </ns0:c>
      <ns0:c r="H13" s="4" t="s">
        <ns0:v>31</ns0:v>
      </ns0:c>
    </ns0:row>
    <ns0:row r="14" spans="1:8" ht="39.75" customHeight="1" ns3:dyDescent="0.2">
      <ns0:c r="A14" s="4" t="s">
        <ns0:v>8</ns0:v>
      </ns0:c>
      <ns0:c r="B14" s="4" t="s">
        <ns0:v>32</ns0:v>
      </ns0:c>
      <ns0:c r="C14" s="4" t="s">
        <ns0:v>10</ns0:v>
      </ns0:c>
      <ns0:c r="D14" s="4" t="s">
        <ns0:v>11</ns0:v>
      </ns0:c>
      <ns0:c r="E14" s="4" t="s">
        <ns0:v>12</ns0:v>
      </ns0:c>
      <ns0:c r="F14" s="4" t="s">
        <ns0:v>29</ns0:v>
      </ns0:c>
      <ns0:c r="G14" s="4" t="s">
        <ns0:v>33</ns0:v>
      </ns0:c>
      <ns0:c r="H14" s="4" t="s">
        <ns0:v>34</ns0:v>
      </ns0:c>
    </ns0:row>
    <ns0:row r="15" spans="1:8" ht="39.75" customHeight="1" ns3:dyDescent="0.2">
      <ns0:c r="A15" s="4" t="s">
        <ns0:v>8</ns0:v>
      </ns0:c>
      <ns0:c r="B15" s="4" t="s">
        <ns0:v>35</ns0:v>
      </ns0:c>
      <ns0:c r="C15" s="4" t="s">
        <ns0:v>10</ns0:v>
      </ns0:c>
      <ns0:c r="D15" s="4" t="s">
        <ns0:v>36</ns0:v>
      </ns0:c>
      <ns0:c r="E15" s="4" t="s">
        <ns0:v>12</ns0:v>
      </ns0:c>
      <ns0:c r="F15" s="4" t="s">
        <ns0:v>13</ns0:v>
      </ns0:c>
      <ns0:c r="G15" s="4"/>
      <ns0:c r="H15" s="4" t="s">
        <ns0:v>37</ns0:v>
      </ns0:c>
    </ns0:row>
    <ns0:row r="16" spans="1:8" ht="39.75" customHeight="1" ns3:dyDescent="0.2">
      <ns0:c r="A16" s="4" t="s">
        <ns0:v>8</ns0:v>
      </ns0:c>
      <ns0:c r="B16" s="4" t="s">
        <ns0:v>38</ns0:v>
      </ns0:c>
      <ns0:c r="C16" s="4" t="s">
        <ns0:v>10</ns0:v>
      </ns0:c>
      <ns0:c r="D16" s="4" t="s">
        <ns0:v>36</ns0:v>
      </ns0:c>
      <ns0:c r="E16" s="4" t="s">
        <ns0:v>12</ns0:v>
      </ns0:c>
      <ns0:c r="F16" s="4" t="s">
        <ns0:v>22</ns0:v>
      </ns0:c>
      <ns0:c r="G16" s="4"/>
      <ns0:c r="H16" s="4" t="s">
        <ns0:v>149</ns0:v>
      </ns0:c>
    </ns0:row>
    <ns0:row r="17" spans="1:8" ht="39.75" customHeight="1" ns3:dyDescent="0.2">
      <ns0:c r="A17" s="4" t="s">
        <ns0:v>8</ns0:v>
      </ns0:c>
      <ns0:c r="B17" s="4" t="s">
        <ns0:v>39</ns0:v>
      </ns0:c>
      <ns0:c r="C17" s="4" t="s">
        <ns0:v>10</ns0:v>
      </ns0:c>
      <ns0:c r="D17" s="4" t="s">
        <ns0:v>36</ns0:v>
      </ns0:c>
      <ns0:c r="E17" s="4" t="s">
        <ns0:v>12</ns0:v>
      </ns0:c>
      <ns0:c r="F17" s="4" t="s">
        <ns0:v>22</ns0:v>
      </ns0:c>
      <ns0:c r="G17" s="4"/>
      <ns0:c r="H17" s="4" t="s">
        <ns0:v>150</ns0:v>
      </ns0:c>
    </ns0:row>
    <ns0:row r="18" spans="1:8" ht="39.75" customHeight="1" ns3:dyDescent="0.2">
      <ns0:c r="A18" s="4" t="s">
        <ns0:v>8</ns0:v>
      </ns0:c>
      <ns0:c r="B18" s="4" t="s">
        <ns0:v>40</ns0:v>
      </ns0:c>
      <ns0:c r="C18" s="4" t="s">
        <ns0:v>10</ns0:v>
      </ns0:c>
      <ns0:c r="D18" s="4" t="s">
        <ns0:v>36</ns0:v>
      </ns0:c>
      <ns0:c r="E18" s="4" t="s">
        <ns0:v>12</ns0:v>
      </ns0:c>
      <ns0:c r="F18" s="4" t="s">
        <ns0:v>13</ns0:v>
      </ns0:c>
      <ns0:c r="G18" s="4"/>
      <ns0:c r="H18" s="4" t="s">
        <ns0:v>41</ns0:v>
      </ns0:c>
    </ns0:row>
    <ns0:row r="19" spans="1:8" ht="39.75" customHeight="1" ns3:dyDescent="0.2">
      <ns0:c r="A19" s="4" t="s">
        <ns0:v>8</ns0:v>
      </ns0:c>
      <ns0:c r="B19" s="4" t="s">
        <ns0:v>42</ns0:v>
      </ns0:c>
      <ns0:c r="C19" s="4" t="s">
        <ns0:v>10</ns0:v>
      </ns0:c>
      <ns0:c r="D19" s="4" t="s">
        <ns0:v>36</ns0:v>
      </ns0:c>
      <ns0:c r="E19" s="4" t="s">
        <ns0:v>12</ns0:v>
      </ns0:c>
      <ns0:c r="F19" s="4" t="s">
        <ns0:v>22</ns0:v>
      </ns0:c>
      <ns0:c r="G19" s="4"/>
      <ns0:c r="H19" s="4" t="s">
        <ns0:v>151</ns0:v>
      </ns0:c>
    </ns0:row>
    <ns0:row r="20" spans="1:8" ht="39.75" customHeight="1" ns3:dyDescent="0.2">
      <ns0:c r="A20" s="4" t="s">
        <ns0:v>8</ns0:v>
      </ns0:c>
      <ns0:c r="B20" s="4" t="s">
        <ns0:v>43</ns0:v>
      </ns0:c>
      <ns0:c r="C20" s="4" t="s">
        <ns0:v>10</ns0:v>
      </ns0:c>
      <ns0:c r="D20" s="4" t="s">
        <ns0:v>36</ns0:v>
      </ns0:c>
      <ns0:c r="E20" s="4" t="s">
        <ns0:v>12</ns0:v>
      </ns0:c>
      <ns0:c r="F20" s="4" t="s">
        <ns0:v>22</ns0:v>
      </ns0:c>
      <ns0:c r="G20" s="4"/>
      <ns0:c r="H20" s="4" t="s">
        <ns0:v>152</ns0:v>
      </ns0:c>
    </ns0:row>
    <ns0:row r="21" spans="1:8" ht="39.75" customHeight="1" ns3:dyDescent="0.2">
      <ns0:c r="A21" s="4" t="s">
        <ns0:v>8</ns0:v>
      </ns0:c>
      <ns0:c r="B21" s="4" t="s">
        <ns0:v>44</ns0:v>
      </ns0:c>
      <ns0:c r="C21" s="4" t="s">
        <ns0:v>10</ns0:v>
      </ns0:c>
      <ns0:c r="D21" s="4" t="s">
        <ns0:v>36</ns0:v>
      </ns0:c>
      <ns0:c r="E21" s="4" t="s">
        <ns0:v>12</ns0:v>
      </ns0:c>
      <ns0:c r="F21" s="4" t="s">
        <ns0:v>22</ns0:v>
      </ns0:c>
      <ns0:c r="G21" s="4"/>
      <ns0:c r="H21" s="4" t="s">
        <ns0:v>153</ns0:v>
      </ns0:c>
    </ns0:row>
    <ns0:row r="22" spans="1:8" ht="39.75" customHeight="1" ns3:dyDescent="0.2">
      <ns0:c r="A22" s="4" t="s">
        <ns0:v>8</ns0:v>
      </ns0:c>
      <ns0:c r="B22" s="4" t="s">
        <ns0:v>45</ns0:v>
      </ns0:c>
      <ns0:c r="C22" s="4" t="s">
        <ns0:v>10</ns0:v>
      </ns0:c>
      <ns0:c r="D22" s="4" t="s">
        <ns0:v>36</ns0:v>
      </ns0:c>
      <ns0:c r="E22" s="4" t="s">
        <ns0:v>12</ns0:v>
      </ns0:c>
      <ns0:c r="F22" s="4" t="s">
        <ns0:v>22</ns0:v>
      </ns0:c>
      <ns0:c r="G22" s="4"/>
      <ns0:c r="H22" s="4" t="s">
        <ns0:v>154</ns0:v>
      </ns0:c>
    </ns0:row>
    <ns0:row r="23" spans="1:8" ht="39.75" customHeight="1" ns3:dyDescent="0.2">
      <ns0:c r="A23" s="4" t="s">
        <ns0:v>8</ns0:v>
      </ns0:c>
      <ns0:c r="B23" s="4" t="s">
        <ns0:v>46</ns0:v>
      </ns0:c>
      <ns0:c r="C23" s="4" t="s">
        <ns0:v>10</ns0:v>
      </ns0:c>
      <ns0:c r="D23" s="4" t="s">
        <ns0:v>36</ns0:v>
      </ns0:c>
      <ns0:c r="E23" s="4" t="s">
        <ns0:v>12</ns0:v>
      </ns0:c>
      <ns0:c r="F23" s="4" t="s">
        <ns0:v>22</ns0:v>
      </ns0:c>
      <ns0:c r="G23" s="4"/>
      <ns0:c r="H23" s="4" t="s">
        <ns0:v>155</ns0:v>
      </ns0:c>
    </ns0:row>
    <ns0:row r="24" spans="1:8" ht="39.75" customHeight="1" ns3:dyDescent="0.2">
      <ns0:c r="A24" s="4" t="s">
        <ns0:v>8</ns0:v>
      </ns0:c>
      <ns0:c r="B24" s="4" t="s">
        <ns0:v>47</ns0:v>
      </ns0:c>
      <ns0:c r="C24" s="4" t="s">
        <ns0:v>10</ns0:v>
      </ns0:c>
      <ns0:c r="D24" s="4" t="s">
        <ns0:v>36</ns0:v>
      </ns0:c>
      <ns0:c r="E24" s="4" t="s">
        <ns0:v>12</ns0:v>
      </ns0:c>
      <ns0:c r="F24" s="4" t="s">
        <ns0:v>22</ns0:v>
      </ns0:c>
      <ns0:c r="G24" s="4"/>
      <ns0:c r="H24" s="4" t="s">
        <ns0:v>156</ns0:v>
      </ns0:c>
    </ns0:row>
    <ns0:row r="25" spans="1:8" ht="39.75" customHeight="1" ns3:dyDescent="0.2">
      <ns0:c r="A25" s="4" t="s">
        <ns0:v>8</ns0:v>
      </ns0:c>
      <ns0:c r="B25" s="4" t="s">
        <ns0:v>48</ns0:v>
      </ns0:c>
      <ns0:c r="C25" s="4" t="s">
        <ns0:v>10</ns0:v>
      </ns0:c>
      <ns0:c r="D25" s="4" t="s">
        <ns0:v>36</ns0:v>
      </ns0:c>
      <ns0:c r="E25" s="4" t="s">
        <ns0:v>12</ns0:v>
      </ns0:c>
      <ns0:c r="F25" s="4" t="s">
        <ns0:v>13</ns0:v>
      </ns0:c>
      <ns0:c r="G25" s="4"/>
      <ns0:c r="H25" s="4" t="s">
        <ns0:v>49</ns0:v>
      </ns0:c>
    </ns0:row>
    <ns0:row r="26" spans="1:8" ht="39.75" customHeight="1" ns3:dyDescent="0.2">
      <ns0:c r="A26" s="4" t="s">
        <ns0:v>8</ns0:v>
      </ns0:c>
      <ns0:c r="B26" s="4" t="s">
        <ns0:v>50</ns0:v>
      </ns0:c>
      <ns0:c r="C26" s="4" t="s">
        <ns0:v>10</ns0:v>
      </ns0:c>
      <ns0:c r="D26" s="4" t="s">
        <ns0:v>36</ns0:v>
      </ns0:c>
      <ns0:c r="E26" s="4" t="s">
        <ns0:v>12</ns0:v>
      </ns0:c>
      <ns0:c r="F26" s="4" t="s">
        <ns0:v>13</ns0:v>
      </ns0:c>
      <ns0:c r="G26" s="4"/>
      <ns0:c r="H26" s="4" t="s">
        <ns0:v>49</ns0:v>
      </ns0:c>
    </ns0:row>
    <ns0:row r="27" spans="1:8" ht="39.75" customHeight="1" ns3:dyDescent="0.2">
      <ns0:c r="A27" s="4" t="s">
        <ns0:v>8</ns0:v>
      </ns0:c>
      <ns0:c r="B27" s="4" t="s">
        <ns0:v>51</ns0:v>
      </ns0:c>
      <ns0:c r="C27" s="4" t="s">
        <ns0:v>10</ns0:v>
      </ns0:c>
      <ns0:c r="D27" s="4" t="s">
        <ns0:v>36</ns0:v>
      </ns0:c>
      <ns0:c r="E27" s="4" t="s">
        <ns0:v>12</ns0:v>
      </ns0:c>
      <ns0:c r="F27" s="4" t="s">
        <ns0:v>29</ns0:v>
      </ns0:c>
      <ns0:c r="G27" s="4" t="s">
        <ns0:v>52</ns0:v>
      </ns0:c>
      <ns0:c r="H27" s="4" t="s">
        <ns0:v>53</ns0:v>
      </ns0:c>
    </ns0:row>
    <ns0:row r="28" spans="1:8" ht="39.75" customHeight="1" ns3:dyDescent="0.2">
      <ns0:c r="A28" s="4" t="s">
        <ns0:v>8</ns0:v>
      </ns0:c>
      <ns0:c r="B28" s="4" t="s">
        <ns0:v>54</ns0:v>
      </ns0:c>
      <ns0:c r="C28" s="4" t="s">
        <ns0:v>10</ns0:v>
      </ns0:c>
      <ns0:c r="D28" s="4" t="s">
        <ns0:v>55</ns0:v>
      </ns0:c>
      <ns0:c r="E28" s="4" t="s">
        <ns0:v>12</ns0:v>
      </ns0:c>
      <ns0:c r="F28" s="4" t="s">
        <ns0:v>13</ns0:v>
      </ns0:c>
      <ns0:c r="G28" s="4"/>
      <ns0:c r="H28" s="4" t="s">
        <ns0:v>18</ns0:v>
      </ns0:c>
    </ns0:row>
    <ns0:row r="29" spans="1:8" ht="39.75" customHeight="1" ns3:dyDescent="0.2">
      <ns0:c r="A29" s="4" t="s">
        <ns0:v>8</ns0:v>
      </ns0:c>
      <ns0:c r="B29" s="4" t="s">
        <ns0:v>56</ns0:v>
      </ns0:c>
      <ns0:c r="C29" s="4" t="s">
        <ns0:v>10</ns0:v>
      </ns0:c>
      <ns0:c r="D29" s="4" t="s">
        <ns0:v>55</ns0:v>
      </ns0:c>
      <ns0:c r="E29" s="4" t="s">
        <ns0:v>12</ns0:v>
      </ns0:c>
      <ns0:c r="F29" s="4" t="s">
        <ns0:v>13</ns0:v>
      </ns0:c>
      <ns0:c r="G29" s="4"/>
      <ns0:c r="H29" s="4" t="s">
        <ns0:v>18</ns0:v>
      </ns0:c>
    </ns0:row>
    <ns0:row r="30" spans="1:8" ht="39.75" customHeight="1" ns3:dyDescent="0.2">
      <ns0:c r="A30" s="4" t="s">
        <ns0:v>8</ns0:v>
      </ns0:c>
      <ns0:c r="B30" s="4" t="s">
        <ns0:v>57</ns0:v>
      </ns0:c>
      <ns0:c r="C30" s="4" t="s">
        <ns0:v>10</ns0:v>
      </ns0:c>
      <ns0:c r="D30" s="4" t="s">
        <ns0:v>55</ns0:v>
      </ns0:c>
      <ns0:c r="E30" s="4" t="s">
        <ns0:v>12</ns0:v>
      </ns0:c>
      <ns0:c r="F30" s="4" t="s">
        <ns0:v>13</ns0:v>
      </ns0:c>
      <ns0:c r="G30" s="4"/>
      <ns0:c r="H30" s="4" t="s">
        <ns0:v>18</ns0:v>
      </ns0:c>
    </ns0:row>
    <ns0:row r="31" spans="1:8" ht="39.75" customHeight="1" ns3:dyDescent="0.2">
      <ns0:c r="A31" s="4" t="s">
        <ns0:v>8</ns0:v>
      </ns0:c>
      <ns0:c r="B31" s="4" t="s">
        <ns0:v>58</ns0:v>
      </ns0:c>
      <ns0:c r="C31" s="4" t="s">
        <ns0:v>10</ns0:v>
      </ns0:c>
      <ns0:c r="D31" s="4" t="s">
        <ns0:v>55</ns0:v>
      </ns0:c>
      <ns0:c r="E31" s="4" t="s">
        <ns0:v>12</ns0:v>
      </ns0:c>
      <ns0:c r="F31" s="4" t="s">
        <ns0:v>13</ns0:v>
      </ns0:c>
      <ns0:c r="G31" s="4"/>
      <ns0:c r="H31" s="4" t="s">
        <ns0:v>18</ns0:v>
      </ns0:c>
    </ns0:row>
    <ns0:row r="32" spans="1:8" ht="39.75" customHeight="1" ns3:dyDescent="0.2">
      <ns0:c r="A32" s="4" t="s">
        <ns0:v>8</ns0:v>
      </ns0:c>
      <ns0:c r="B32" s="4" t="s">
        <ns0:v>59</ns0:v>
      </ns0:c>
      <ns0:c r="C32" s="4" t="s">
        <ns0:v>10</ns0:v>
      </ns0:c>
      <ns0:c r="D32" s="4" t="s">
        <ns0:v>55</ns0:v>
      </ns0:c>
      <ns0:c r="E32" s="4" t="s">
        <ns0:v>12</ns0:v>
      </ns0:c>
      <ns0:c r="F32" s="4" t="s">
        <ns0:v>13</ns0:v>
      </ns0:c>
      <ns0:c r="G32" s="4"/>
      <ns0:c r="H32" s="4" t="s">
        <ns0:v>18</ns0:v>
      </ns0:c>
    </ns0:row>
    <ns0:row r="33" spans="1:8" ht="39.75" customHeight="1" ns3:dyDescent="0.2">
      <ns0:c r="A33" s="4" t="s">
        <ns0:v>8</ns0:v>
      </ns0:c>
      <ns0:c r="B33" s="4" t="s">
        <ns0:v>60</ns0:v>
      </ns0:c>
      <ns0:c r="C33" s="4" t="s">
        <ns0:v>10</ns0:v>
      </ns0:c>
      <ns0:c r="D33" s="4" t="s">
        <ns0:v>55</ns0:v>
      </ns0:c>
      <ns0:c r="E33" s="4" t="s">
        <ns0:v>12</ns0:v>
      </ns0:c>
      <ns0:c r="F33" s="4" t="s">
        <ns0:v>13</ns0:v>
      </ns0:c>
      <ns0:c r="G33" s="4"/>
      <ns0:c r="H33" s="4" t="s">
        <ns0:v>18</ns0:v>
      </ns0:c>
    </ns0:row>
    <ns0:row r="34" spans="1:8" ht="39.75" customHeight="1" ns3:dyDescent="0.2">
      <ns0:c r="A34" s="4" t="s">
        <ns0:v>8</ns0:v>
      </ns0:c>
      <ns0:c r="B34" s="4" t="s">
        <ns0:v>61</ns0:v>
      </ns0:c>
      <ns0:c r="C34" s="4" t="s">
        <ns0:v>10</ns0:v>
      </ns0:c>
      <ns0:c r="D34" s="4" t="s">
        <ns0:v>55</ns0:v>
      </ns0:c>
      <ns0:c r="E34" s="4" t="s">
        <ns0:v>12</ns0:v>
      </ns0:c>
      <ns0:c r="F34" s="4" t="s">
        <ns0:v>13</ns0:v>
      </ns0:c>
      <ns0:c r="G34" s="4"/>
      <ns0:c r="H34" s="4" t="s">
        <ns0:v>18</ns0:v>
      </ns0:c>
    </ns0:row>
    <ns0:row r="35" spans="1:8" ht="39.75" customHeight="1" ns3:dyDescent="0.2">
      <ns0:c r="A35" s="4" t="s">
        <ns0:v>8</ns0:v>
      </ns0:c>
      <ns0:c r="B35" s="4" t="s">
        <ns0:v>62</ns0:v>
      </ns0:c>
      <ns0:c r="C35" s="4" t="s">
        <ns0:v>10</ns0:v>
      </ns0:c>
      <ns0:c r="D35" s="4" t="s">
        <ns0:v>55</ns0:v>
      </ns0:c>
      <ns0:c r="E35" s="4" t="s">
        <ns0:v>12</ns0:v>
      </ns0:c>
      <ns0:c r="F35" s="4" t="s">
        <ns0:v>13</ns0:v>
      </ns0:c>
      <ns0:c r="G35" s="4"/>
      <ns0:c r="H35" s="4" t="s">
        <ns0:v>18</ns0:v>
      </ns0:c>
    </ns0:row>
    <ns0:row r="36" spans="1:8" ht="39.75" customHeight="1" ns3:dyDescent="0.2">
      <ns0:c r="A36" s="4" t="s">
        <ns0:v>8</ns0:v>
      </ns0:c>
      <ns0:c r="B36" s="4" t="s">
        <ns0:v>63</ns0:v>
      </ns0:c>
      <ns0:c r="C36" s="4" t="s">
        <ns0:v>10</ns0:v>
      </ns0:c>
      <ns0:c r="D36" s="4" t="s">
        <ns0:v>55</ns0:v>
      </ns0:c>
      <ns0:c r="E36" s="4" t="s">
        <ns0:v>12</ns0:v>
      </ns0:c>
      <ns0:c r="F36" s="4" t="s">
        <ns0:v>13</ns0:v>
      </ns0:c>
      <ns0:c r="G36" s="4"/>
      <ns0:c r="H36" s="4" t="s">
        <ns0:v>64</ns0:v>
      </ns0:c>
    </ns0:row>
    <ns0:row r="37" spans="1:8" ht="39.75" customHeight="1" ns3:dyDescent="0.2">
      <ns0:c r="A37" s="4" t="s">
        <ns0:v>8</ns0:v>
      </ns0:c>
      <ns0:c r="B37" s="4" t="s">
        <ns0:v>65</ns0:v>
      </ns0:c>
      <ns0:c r="C37" s="4" t="s">
        <ns0:v>10</ns0:v>
      </ns0:c>
      <ns0:c r="D37" s="4" t="s">
        <ns0:v>55</ns0:v>
      </ns0:c>
      <ns0:c r="E37" s="4" t="s">
        <ns0:v>12</ns0:v>
      </ns0:c>
      <ns0:c r="F37" s="4" t="s">
        <ns0:v>13</ns0:v>
      </ns0:c>
      <ns0:c r="G37" s="4"/>
      <ns0:c r="H37" s="4" t="s">
        <ns0:v>18</ns0:v>
      </ns0:c>
    </ns0:row>
    <ns0:row r="38" spans="1:8" ht="39.75" customHeight="1" ns3:dyDescent="0.2">
      <ns0:c r="A38" s="4" t="s">
        <ns0:v>8</ns0:v>
      </ns0:c>
      <ns0:c r="B38" s="4" t="s">
        <ns0:v>66</ns0:v>
      </ns0:c>
      <ns0:c r="C38" s="4" t="s">
        <ns0:v>10</ns0:v>
      </ns0:c>
      <ns0:c r="D38" s="4" t="s">
        <ns0:v>55</ns0:v>
      </ns0:c>
      <ns0:c r="E38" s="4" t="s">
        <ns0:v>12</ns0:v>
      </ns0:c>
      <ns0:c r="F38" s="4" t="s">
        <ns0:v>29</ns0:v>
      </ns0:c>
      <ns0:c r="G38" s="4" t="s">
        <ns0:v>67</ns0:v>
      </ns0:c>
      <ns0:c r="H38" s="4" t="s">
        <ns0:v>68</ns0:v>
      </ns0:c>
    </ns0:row>
    <ns0:row r="39" spans="1:8" ht="39.75" customHeight="1" ns3:dyDescent="0.2">
      <ns0:c r="A39" s="4" t="s">
        <ns0:v>8</ns0:v>
      </ns0:c>
      <ns0:c r="B39" s="4" t="s">
        <ns0:v>69</ns0:v>
      </ns0:c>
      <ns0:c r="C39" s="4" t="s">
        <ns0:v>10</ns0:v>
      </ns0:c>
      <ns0:c r="D39" s="4" t="s">
        <ns0:v>55</ns0:v>
      </ns0:c>
      <ns0:c r="E39" s="4" t="s">
        <ns0:v>12</ns0:v>
      </ns0:c>
      <ns0:c r="F39" s="4" t="s">
        <ns0:v>29</ns0:v>
      </ns0:c>
      <ns0:c r="G39" s="4" t="s">
        <ns0:v>70</ns0:v>
      </ns0:c>
      <ns0:c r="H39" s="4" t="s">
        <ns0:v>71</ns0:v>
      </ns0:c>
    </ns0:row>
    <ns0:row r="40" spans="1:8" ht="39.75" customHeight="1" ns3:dyDescent="0.2">
      <ns0:c r="A40" s="4" t="s">
        <ns0:v>8</ns0:v>
      </ns0:c>
      <ns0:c r="B40" s="4" t="s">
        <ns0:v>72</ns0:v>
      </ns0:c>
      <ns0:c r="C40" s="4" t="s">
        <ns0:v>10</ns0:v>
      </ns0:c>
      <ns0:c r="D40" s="4" t="s">
        <ns0:v>55</ns0:v>
      </ns0:c>
      <ns0:c r="E40" s="4" t="s">
        <ns0:v>12</ns0:v>
      </ns0:c>
      <ns0:c r="F40" s="4" t="s">
        <ns0:v>29</ns0:v>
      </ns0:c>
      <ns0:c r="G40" s="4" t="s">
        <ns0:v>73</ns0:v>
      </ns0:c>
      <ns0:c r="H40" s="4" t="inlineStr">
        <ns0:is>
          <ns0:t>Крок 8: у «Our Rooms» нова картка не з’явилася. Крок 9: видалення номера не спрацювало, рядок залишився. Статус виправлено з passed на failed (30.10.2026): початковий passed суперечив коментарю TC-040 і Run 2 (TC-039 failed).
Узгодження редакцій 30.10.2026: Чинна редакція TC-039: перевірка картки — крок 14. Згадані кроки 8/9 та видалення належать історичній редакції; видалення у чинній редакції перевіряє TC-040, крок 6.</ns0:t>
        </ns0:is>
      </ns0:c>
    </ns0:row>
    <ns0:row r="41" spans="1:8" ht="39.75" customHeight="1" ns3:dyDescent="0.2">
      <ns0:c r="A41" s="4" t="s">
        <ns0:v>8</ns0:v>
      </ns0:c>
      <ns0:c r="B41" s="4" t="s">
        <ns0:v>75</ns0:v>
      </ns0:c>
      <ns0:c r="C41" s="4" t="s">
        <ns0:v>10</ns0:v>
      </ns0:c>
      <ns0:c r="D41" s="4" t="s">
        <ns0:v>55</ns0:v>
      </ns0:c>
      <ns0:c r="E41" s="4" t="s">
        <ns0:v>12</ns0:v>
      </ns0:c>
      <ns0:c r="F41" s="4" t="s">
        <ns0:v>29</ns0:v>
      </ns0:c>
      <ns0:c r="G41" s="4" t="s">
        <ns0:v>73</ns0:v>
      </ns0:c>
      <ns0:c r="H41" s="4" t="inlineStr">
        <ns0:is>
          <ns0:t>Нова картка не з’явилася в Our Rooms; видалення рядка не спрацювало — рядок залишився. Можливі два окремі дефекти.
Узгодження редакцій 30.10.2026: Чинна редакція TC-040: натискання видалення — крок 6. Публічна видимість нової картки перевіряється окремо у TC-039, крок 14.</ns0:t>
        </ns0:is>
      </ns0:c>
    </ns0:row>
    <ns0:row r="42" spans="1:8" ht="39.75" customHeight="1" ns3:dyDescent="0.2">
      <ns0:c r="A42" s="4" t="s">
        <ns0:v>8</ns0:v>
      </ns0:c>
      <ns0:c r="B42" s="4" t="s">
        <ns0:v>77</ns0:v>
      </ns0:c>
      <ns0:c r="C42" s="4" t="s">
        <ns0:v>10</ns0:v>
      </ns0:c>
      <ns0:c r="D42" s="4" t="s">
        <ns0:v>78</ns0:v>
      </ns0:c>
      <ns0:c r="E42" s="4" t="s">
        <ns0:v>79</ns0:v>
      </ns0:c>
      <ns0:c r="F42" s="4" t="s">
        <ns0:v>13</ns0:v>
      </ns0:c>
      <ns0:c r="G42" s="4"/>
      <ns0:c r="H42" s="4" t="s">
        <ns0:v>18</ns0:v>
      </ns0:c>
    </ns0:row>
    <ns0:row r="43" spans="1:8" ht="39.75" customHeight="1" ns3:dyDescent="0.2">
      <ns0:c r="A43" s="4" t="s">
        <ns0:v>8</ns0:v>
      </ns0:c>
      <ns0:c r="B43" s="4" t="s">
        <ns0:v>80</ns0:v>
      </ns0:c>
      <ns0:c r="C43" s="4" t="s">
        <ns0:v>10</ns0:v>
      </ns0:c>
      <ns0:c r="D43" s="4" t="s">
        <ns0:v>78</ns0:v>
      </ns0:c>
      <ns0:c r="E43" s="4" t="s">
        <ns0:v>79</ns0:v>
      </ns0:c>
      <ns0:c r="F43" s="4"/>
      <ns0:c r="G43" s="4"/>
      <ns0:c r="H43" s="4" t="s">
        <ns0:v>81</ns0:v>
      </ns0:c>
    </ns0:row>
    <ns0:row r="44" spans="1:8" ht="39.75" customHeight="1" ns3:dyDescent="0.2">
      <ns0:c r="A44" s="4" t="s">
        <ns0:v>8</ns0:v>
      </ns0:c>
      <ns0:c r="B44" s="4" t="s">
        <ns0:v>82</ns0:v>
      </ns0:c>
      <ns0:c r="C44" s="4" t="s">
        <ns0:v>10</ns0:v>
      </ns0:c>
      <ns0:c r="D44" s="4" t="s">
        <ns0:v>78</ns0:v>
      </ns0:c>
      <ns0:c r="E44" s="4" t="s">
        <ns0:v>79</ns0:v>
      </ns0:c>
      <ns0:c r="F44" s="4" t="s">
        <ns0:v>22</ns0:v>
      </ns0:c>
      <ns0:c r="G44" s="4"/>
      <ns0:c r="H44" s="4" t="inlineStr">
        <ns0:is>
          <ns0:t>Немає BR message 001; тестові дані не підготовлені. Причину відсутності повідомлення потрібно уточнити.
Стан/обмеження на 30.10.2026 (не змінює історичного статусу): Не створено потрібне BR message 001; додатково спостережено BUG-014 — наявні повідомлення не відкриваються, але TC-043 окремо не виконано.
Узгодження редакцій 30.10.2026: Чинна редакція TC-043: відкриття повідомлення — крок 8 (у первинному протоколі — крок 7).</ns0:t>
        </ns0:is>
      </ns0:c>
    </ns0:row>
    <ns0:row r="45" spans="1:8" ht="39.75" customHeight="1" ns3:dyDescent="0.2">
      <ns0:c r="A45" s="4" t="s">
        <ns0:v>8</ns0:v>
      </ns0:c>
      <ns0:c r="B45" s="4" t="s">
        <ns0:v>83</ns0:v>
      </ns0:c>
      <ns0:c r="C45" s="4" t="s">
        <ns0:v>10</ns0:v>
      </ns0:c>
      <ns0:c r="D45" s="4" t="s">
        <ns0:v>78</ns0:v>
      </ns0:c>
      <ns0:c r="E45" s="4" t="s">
        <ns0:v>79</ns0:v>
      </ns0:c>
      <ns0:c r="F45" s="4" t="s">
        <ns0:v>22</ns0:v>
      </ns0:c>
      <ns0:c r="G45" s="4"/>
      <ns0:c r="H45" s="4" t="inlineStr">
        <ns0:is>
          <ns0:t>Немає BR message 002; тестові дані не підготовлені. Причину відсутності повідомлення потрібно уточнити.
Стан/обмеження на 30.10.2026 (не змінює історичного статусу): Не створено потрібне BR message 002; BUG-010 не стосується, видалення повідомлення не перевірено.
Узгодження редакцій 30.10.2026: Чинна редакція TC-044: видалення повідомлення — крок 7 (у первинному протоколі — крок 6). Перевірка після F5 не підтверджена, Failed встановлено за невдалим натисканням.</ns0:t>
        </ns0:is>
      </ns0:c>
    </ns0:row>
    <ns0:row r="46" spans="1:8" ht="39.75" customHeight="1" ns3:dyDescent="0.2">
      <ns0:c r="A46" s="4" t="s">
        <ns0:v>8</ns0:v>
      </ns0:c>
      <ns0:c r="B46" s="4" t="s">
        <ns0:v>84</ns0:v>
      </ns0:c>
      <ns0:c r="C46" s="4" t="s">
        <ns0:v>10</ns0:v>
      </ns0:c>
      <ns0:c r="D46" s="4" t="s">
        <ns0:v>78</ns0:v>
      </ns0:c>
      <ns0:c r="E46" s="4" t="s">
        <ns0:v>79</ns0:v>
      </ns0:c>
      <ns0:c r="F46" s="4" t="s">
        <ns0:v>22</ns0:v>
      </ns0:c>
      <ns0:c r="G46" s="4"/>
      <ns0:c r="H46" s="4" t="s">
        <ns0:v>159</ns0:v>
      </ns0:c>
    </ns0:row>
    <ns0:row r="47" spans="1:8" ht="39.75" customHeight="1" ns3:dyDescent="0.2">
      <ns0:c r="A47" s="4" t="s">
        <ns0:v>8</ns0:v>
      </ns0:c>
      <ns0:c r="B47" s="4" t="s">
        <ns0:v>85</ns0:v>
      </ns0:c>
      <ns0:c r="C47" s="4" t="s">
        <ns0:v>10</ns0:v>
      </ns0:c>
      <ns0:c r="D47" s="4" t="s">
        <ns0:v>78</ns0:v>
      </ns0:c>
      <ns0:c r="E47" s="4" t="s">
        <ns0:v>79</ns0:v>
      </ns0:c>
      <ns0:c r="F47" s="4" t="s">
        <ns0:v>13</ns0:v>
      </ns0:c>
      <ns0:c r="G47" s="4"/>
      <ns0:c r="H47" s="4" t="s">
        <ns0:v>18</ns0:v>
      </ns0:c>
    </ns0:row>
    <ns0:row r="48" spans="1:8" ht="39.75" customHeight="1" ns3:dyDescent="0.2">
      <ns0:c r="A48" s="4" t="s">
        <ns0:v>8</ns0:v>
      </ns0:c>
      <ns0:c r="B48" s="4" t="s">
        <ns0:v>86</ns0:v>
      </ns0:c>
      <ns0:c r="C48" s="4" t="s">
        <ns0:v>10</ns0:v>
      </ns0:c>
      <ns0:c r="D48" s="4" t="s">
        <ns0:v>78</ns0:v>
      </ns0:c>
      <ns0:c r="E48" s="4" t="s">
        <ns0:v>79</ns0:v>
      </ns0:c>
      <ns0:c r="F48" s="4" t="s">
        <ns0:v>13</ns0:v>
      </ns0:c>
      <ns0:c r="G48" s="4"/>
      <ns0:c r="H48" s="4" t="s">
        <ns0:v>18</ns0:v>
      </ns0:c>
    </ns0:row>
    <ns0:row r="49" spans="1:8" ht="39.75" customHeight="1" ns3:dyDescent="0.2">
      <ns0:c r="A49" s="4" t="s">
        <ns0:v>8</ns0:v>
      </ns0:c>
      <ns0:c r="B49" s="4" t="s">
        <ns0:v>87</ns0:v>
      </ns0:c>
      <ns0:c r="C49" s="4" t="s">
        <ns0:v>10</ns0:v>
      </ns0:c>
      <ns0:c r="D49" s="4" t="s">
        <ns0:v>78</ns0:v>
      </ns0:c>
      <ns0:c r="E49" s="4" t="s">
        <ns0:v>79</ns0:v>
      </ns0:c>
      <ns0:c r="F49" s="4" t="s">
        <ns0:v>29</ns0:v>
      </ns0:c>
      <ns0:c r="G49" s="4" t="s">
        <ns0:v>88</ns0:v>
      </ns0:c>
      <ns0:c r="H49" s="4" t="inlineStr">
        <ns0:is>
          <ns0:t>Виконано в Edge InPrivate, хоча передумова кейса — Chrome 375 × 667: відхилення від передумови. Крок 5: після «Book now» у першій картці нескінченне завантаження; бронювання не завершилося.
Узгодження редакцій 30.10.2026: Чинна редакція TC-048: Book now у картці — крок 7 (у первинному протоколі — крок 5). Невідповідність браузера/невідоме середовище історичного виконання збережено.</ns0:t>
        </ns0:is>
      </ns0:c>
    </ns0:row>
    <ns0:row r="50" spans="1:8" ht="39.75" customHeight="1" ns3:dyDescent="0.2">
      <ns0:c r="A50" s="4" t="s">
        <ns0:v>8</ns0:v>
      </ns0:c>
      <ns0:c r="B50" s="4" t="s">
        <ns0:v>90</ns0:v>
      </ns0:c>
      <ns0:c r="C50" s="4" t="s">
        <ns0:v>10</ns0:v>
      </ns0:c>
      <ns0:c r="D50" s="4" t="s">
        <ns0:v>78</ns0:v>
      </ns0:c>
      <ns0:c r="E50" s="4" t="s">
        <ns0:v>79</ns0:v>
      </ns0:c>
      <ns0:c r="F50" s="4" t="s">
        <ns0:v>29</ns0:v>
      </ns0:c>
      <ns0:c r="G50" s="4" t="s">
        <ns0:v>88</ns0:v>
      </ns0:c>
      <ns0:c r="H50" s="4" t="inlineStr">
        <ns0:is>
          <ns0:t>Первинний прогін виконано в Edge InPrivate, передумова кейса — Firefox 375 × 667 (відхилення). Крок 5: нескінченне завантаження. Повторний прогін у Firefox дав той самий результат (Run 2).
Узгодження редакцій 30.10.2026: Чинна редакція TC-049: Book now у картці — крок 7 (у первинному протоколі — крок 5). Версія Firefox історичного виконання не встановлена.</ns0:t>
        </ns0:is>
      </ns0:c>
    </ns0:row>
  </ns0:sheetData>
  <ns0:dataValidations count="1">
    <ns0:dataValidation type="list" allowBlank="1" sqref="F2:F50" ns2:uid="{00000000-0002-0000-0000-000000000000}">
      <ns0:formula1>"passed,failed,blocked,skipped"</ns0:formula1>
      <ns0:formula2>0</ns0:formula2>
    </ns0:dataValidation>
  </ns0:dataValidations>
  <ns0:pageMargins left="0.7" right="0.7" top="0.75" bottom="0.75" header="0.3" footer="0.3"/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6"/>
  <sheetViews>
    <sheetView workbookViewId="0"/>
  </sheetViews>
  <sheetFormatPr defaultColWidth="8.7109375" defaultRowHeight="15" x14ac:dyDescent="0.25"/>
  <cols>
    <col min="1" max="1" width="33" style="1" customWidth="1"/>
    <col min="2" max="2" width="108" style="1" customWidth="1"/>
  </cols>
  <sheetData>
    <row r="1" spans="1:2" ht="15" customHeight="1" x14ac:dyDescent="0.2">
      <c r="A1" s="2" t="s">
        <v>92</v>
      </c>
      <c r="B1" s="2" t="s">
        <v>93</v>
      </c>
    </row>
    <row r="2" spans="1:2" ht="15" customHeight="1" x14ac:dyDescent="0.2">
      <c r="A2" s="4" t="s">
        <v>94</v>
      </c>
      <c r="B2" s="4" t="s">
        <v>95</v>
      </c>
    </row>
    <row r="3" spans="1:2" ht="15" customHeight="1" x14ac:dyDescent="0.2">
      <c r="A3" s="4" t="s">
        <v>96</v>
      </c>
      <c r="B3" s="4" t="s">
        <v>10</v>
      </c>
    </row>
    <row r="4" spans="1:2" ht="15" customHeight="1" x14ac:dyDescent="0.2">
      <c r="A4" s="4" t="s">
        <v>97</v>
      </c>
      <c r="B4" s="4" t="s">
        <v>98</v>
      </c>
    </row>
    <row r="5" spans="1:2" ht="15" customHeight="1" x14ac:dyDescent="0.2">
      <c r="A5" s="4" t="s">
        <v>99</v>
      </c>
      <c r="B5" s="4" t="s">
        <v>100</v>
      </c>
    </row>
    <row r="6" spans="1:2" ht="15" customHeight="1" x14ac:dyDescent="0.2">
      <c r="A6" s="4" t="s">
        <v>101</v>
      </c>
      <c r="B6" s="4" t="s">
        <v>102</v>
      </c>
    </row>
    <row r="7" spans="1:2" ht="15" customHeight="1" x14ac:dyDescent="0.2">
      <c r="A7" s="4" t="s">
        <v>103</v>
      </c>
      <c r="B7" s="4" t="s">
        <v>104</v>
      </c>
    </row>
    <row r="8" spans="1:2" ht="15" customHeight="1" x14ac:dyDescent="0.2">
      <c r="A8" s="4" t="s">
        <v>105</v>
      </c>
      <c r="B8" s="4" t="s">
        <v>106</v>
      </c>
    </row>
    <row r="9" spans="1:2" ht="15" customHeight="1" x14ac:dyDescent="0.2">
      <c r="A9" s="4"/>
      <c r="B9" s="4"/>
    </row>
    <row r="10" spans="1:2" ht="27.75" customHeight="1" x14ac:dyDescent="0.2">
      <c r="A10" s="4" t="s">
        <v>107</v>
      </c>
      <c r="B10" s="4" t="s">
        <v>108</v>
      </c>
    </row>
    <row r="11" spans="1:2" ht="15" customHeight="1" x14ac:dyDescent="0.2">
      <c r="A11" s="4" t="s">
        <v>109</v>
      </c>
      <c r="B11" s="4" t="s">
        <v>110</v>
      </c>
    </row>
    <row r="12" spans="1:2" ht="27.75" customHeight="1" x14ac:dyDescent="0.2">
      <c r="A12" s="4" t="s">
        <v>111</v>
      </c>
      <c r="B12" s="4" t="s">
        <v>112</v>
      </c>
    </row>
    <row r="13" spans="1:2" ht="15" customHeight="1" x14ac:dyDescent="0.2">
      <c r="A13" s="4" t="s">
        <v>113</v>
      </c>
      <c r="B13" s="4" t="s">
        <v>114</v>
      </c>
    </row>
    <row r="14" spans="1:2" ht="15" customHeight="1" x14ac:dyDescent="0.2">
      <c r="A14" s="4" t="s">
        <v>115</v>
      </c>
      <c r="B14" s="4" t="s">
        <v>116</v>
      </c>
    </row>
    <row r="15" spans="1:2" ht="15" customHeight="1" x14ac:dyDescent="0.2">
      <c r="A15" s="4" t="s">
        <v>117</v>
      </c>
      <c r="B15" s="4" t="s">
        <v>118</v>
      </c>
    </row>
    <row r="16" spans="1:2" ht="41.25" customHeight="1" x14ac:dyDescent="0.2">
      <c r="A16" s="4" t="s">
        <v>119</v>
      </c>
      <c r="B16" s="4" t="s">
        <v>120</v>
      </c>
    </row>
    <row r="17" spans="1:2" ht="27.75" customHeight="1" x14ac:dyDescent="0.2">
      <c r="A17" s="4" t="s">
        <v>121</v>
      </c>
      <c r="B17" s="4" t="s">
        <v>122</v>
      </c>
    </row>
    <row r="18" spans="1:2" ht="27.75" customHeight="1" x14ac:dyDescent="0.2">
      <c r="A18" s="4" t="s">
        <v>123</v>
      </c>
      <c r="B18" s="4" t="s">
        <v>124</v>
      </c>
    </row>
    <row r="19" spans="1:2" x14ac:dyDescent="0.25">
      <c r="A19" s="5" t="s">
        <v>125</v>
      </c>
      <c r="B19" s="6" t="s">
        <v>11</v>
      </c>
    </row>
    <row r="20" spans="1:2" x14ac:dyDescent="0.25">
      <c r="A20" s="5" t="s">
        <v>126</v>
      </c>
      <c r="B20" s="6" t="s">
        <v>36</v>
      </c>
    </row>
    <row r="21" spans="1:2" x14ac:dyDescent="0.25">
      <c r="A21" s="5" t="s">
        <v>127</v>
      </c>
      <c r="B21" s="6" t="s">
        <v>160</v>
      </c>
    </row>
    <row r="22" spans="1:2" x14ac:dyDescent="0.25">
      <c r="A22" s="5" t="s">
        <v>128</v>
      </c>
      <c r="B22" s="6" t="s">
        <v>78</v>
      </c>
    </row>
    <row r="23" spans="1:2" x14ac:dyDescent="0.25">
      <c r="A23" s="1" t="s">
        <v>129</v>
      </c>
      <c r="B23" s="1" t="s">
        <v>130</v>
      </c>
    </row>
    <row r="24" spans="1:2" x14ac:dyDescent="0.25">
      <c r="A24" s="1" t="s">
        <v>131</v>
      </c>
      <c r="B24" s="1" t="s">
        <v>132</v>
      </c>
    </row>
    <row r="25" spans="1:2" x14ac:dyDescent="0.25">
      <c r="A25" s="1" t="s">
        <v>133</v>
      </c>
      <c r="B25" s="1" t="s">
        <v>134</v>
      </c>
    </row>
    <row r="26" spans="1:2" ht="68.099999999999994" customHeight="1" x14ac:dyDescent="0.2">
      <c r="A26" s="10" t="s">
        <v>161</v>
      </c>
      <c r="B26" s="9" t="s">
        <v>162</v>
      </c>
    </row>
    <row r="27" spans="1:2" ht="68.099999999999994" customHeight="1" x14ac:dyDescent="0.2">
      <c r="A27" s="10" t="s">
        <v>163</v>
      </c>
      <c r="B27" s="9" t="s">
        <v>164</v>
      </c>
    </row>
    <row r="28" spans="1:2" ht="68.099999999999994" customHeight="1" x14ac:dyDescent="0.2">
      <c r="A28" s="10" t="s">
        <v>165</v>
      </c>
      <c r="B28" s="9" t="s">
        <v>166</v>
      </c>
    </row>
    <row r="29" spans="1:2" ht="12.75" x14ac:dyDescent="0.2">
      <c r="A29" s="10" t="s">
        <v>167</v>
      </c>
      <c r="B29" s="9" t="s">
        <v>168</v>
      </c>
    </row>
    <row r="30" spans="1:2" ht="12.75" x14ac:dyDescent="0.2">
      <c r="A30" s="10" t="s">
        <v>169</v>
      </c>
      <c r="B30" s="9" t="s">
        <v>170</v>
      </c>
    </row>
    <row r="31" spans="1:2" ht="12.75" x14ac:dyDescent="0.2">
      <c r="A31" s="10" t="s">
        <v>171</v>
      </c>
      <c r="B31" s="9" t="s">
        <v>172</v>
      </c>
    </row>
    <row r="32" spans="1:2" ht="12.75" x14ac:dyDescent="0.2">
      <c r="A32" s="10" t="s">
        <v>173</v>
      </c>
      <c r="B32" s="9" t="s">
        <v>174</v>
      </c>
    </row>
    <row r="33" spans="1:2" ht="12.75" x14ac:dyDescent="0.2">
      <c r="A33" s="10" t="s">
        <v>175</v>
      </c>
      <c r="B33" s="9" t="s">
        <v>176</v>
      </c>
    </row>
    <row r="34" spans="1:2" ht="12.75" x14ac:dyDescent="0.2">
      <c r="A34" t="s">
        <v>177</v>
      </c>
      <c r="B34" t="s">
        <v>178</v>
      </c>
    </row>
    <row r="35" spans="1:2" ht="12.75" x14ac:dyDescent="0.2">
      <c r="A35" t="s">
        <v>179</v>
      </c>
      <c r="B35" t="s">
        <v>180</v>
      </c>
    </row>
    <row r="36" spans="1:2" ht="12.75" x14ac:dyDescent="0.2">
      <c r="A36" t="s">
        <v>181</v>
      </c>
      <c r="B36" t="s">
        <v>182</v>
      </c>
    </row>
  </sheetData>
  <pageMargins left="0.7" right="0.7" top="0.75" bottom="0.75" header="0.3" footer="0.3"/>
</worksheet>
</file>

<file path=xl/worksheets/sheet3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200-000000000000}">
  <ns0:dimension ref="A1:B25"/>
  <ns0:sheetViews>
    <ns0:sheetView topLeftCell="A7" workbookViewId="0">
      <ns0:selection activeCell="B2" sqref="B2"/>
    </ns0:sheetView>
  </ns0:sheetViews>
  <ns0:sheetFormatPr defaultColWidth="8.7109375" defaultRowHeight="15" ns3:dyDescent="0.25"/>
  <ns0:cols>
    <ns0:col min="1" max="1" width="52" style="1" customWidth="1"/>
    <ns0:col min="2" max="2" width="90" style="1" customWidth="1"/>
  </ns0:cols>
  <ns0:sheetData>
    <ns0:row r="1" spans="1:2" ht="27.75" customHeight="1" ns3:dyDescent="0.2">
      <ns0:c r="A1" s="7" t="s">
        <ns0:v>135</ns0:v>
      </ns0:c>
      <ns0:c r="B1" s="7" t="s">
        <ns0:v>93</ns0:v>
      </ns0:c>
    </ns0:row>
    <ns0:row r="2" spans="1:2" ht="15" customHeight="1" ns3:dyDescent="0.2">
      <ns0:c r="A2" s="4" t="s">
        <ns0:v>136</ns0:v>
      </ns0:c>
      <ns0:c r="B2" s="4">
        <ns0:f>COUNTA('Run 1'!B2:B50)</ns0:f>
        <ns0:v>49</ns0:v>
      </ns0:c>
    </ns0:row>
    <ns0:row r="3" spans="1:2" ht="15" customHeight="1" ns3:dyDescent="0.2">
      <ns0:c r="A3" s="4" t="s">
        <ns0:v>13</ns0:v>
      </ns0:c>
      <ns0:c r="B3" s="4">
        <ns0:f>COUNTIF('Run 1'!F2:F50,"passed")</ns0:f>
        <ns0:v>24</ns0:v>
      </ns0:c>
    </ns0:row>
    <ns0:row r="4" spans="1:2" ht="15" customHeight="1" ns3:dyDescent="0.2">
      <ns0:c r="A4" s="4" t="s">
        <ns0:v>29</ns0:v>
      </ns0:c>
      <ns0:c r="B4" s="4">
        <ns0:f>COUNTIF('Run 1'!F2:F50,"failed")</ns0:f>
        <ns0:v>9</ns0:v>
      </ns0:c>
    </ns0:row>
    <ns0:row r="5" spans="1:2" ht="15" customHeight="1" ns3:dyDescent="0.2">
      <ns0:c r="A5" s="4" t="s">
        <ns0:v>22</ns0:v>
      </ns0:c>
      <ns0:c r="B5" s="4">
        <ns0:f>COUNTIF('Run 1'!F2:F50,"blocked")</ns0:f>
        <ns0:v>15</ns0:v>
      </ns0:c>
    </ns0:row>
    <ns0:row r="6" spans="1:2" ht="15" customHeight="1" ns3:dyDescent="0.2">
      <ns0:c r="A6" s="4" t="s">
        <ns0:v>137</ns0:v>
      </ns0:c>
      <ns0:c r="B6" s="4">
        <ns0:f>COUNTIF('Run 1'!F2:F50,"skipped")</ns0:f>
        <ns0:v>0</ns0:v>
      </ns0:c>
    </ns0:row>
    <ns0:row r="7" spans="1:2" ht="15" customHeight="1" ns3:dyDescent="0.2">
      <ns0:c r="A7" s="4" t="inlineStr">
        <ns0:is>
          <ns0:t>Недійсні історичні записи (TC-042 повторено у Run 2)</ns0:t>
        </ns0:is>
      </ns0:c>
      <ns0:c r="B7" s="4">
        <ns0:f>COUNTBLANK('Run 1'!F2:F50)</ns0:f>
        <ns0:v>1</ns0:v>
      </ns0:c>
    </ns0:row>
    <ns0:row r="8" spans="1:2" ns3:dyDescent="0.25">
      <ns0:c r="A8" s="5" t="s">
        <ns0:v>139</ns0:v>
      </ns0:c>
      <ns0:c r="B8" s="5" t="s">
        <ns0:v>140</ns0:v>
      </ns0:c>
    </ns0:row>
    <ns0:row r="9" spans="1:2" ht="36.75" customHeight="1" ns3:dyDescent="0.25">
      <ns0:c r="A9" s="5" t="s">
        <ns0:v>141</ns0:v>
      </ns0:c>
      <ns0:c r="B9" s="6">
        <ns0:f>COUNTIFS('Run 1'!F2:F50,"failed",'Run 1'!G2:G50,"&lt;&gt;")</ns0:f>
        <ns0:v>9</ns0:v>
      </ns0:c>
    </ns0:row>
    <ns0:row r="10" spans="1:2" ht="36.75" customHeight="1" ns3:dyDescent="0.25">
      <ns0:c r="A10" s="5" t="s">
        <ns0:v>142</ns0:v>
      </ns0:c>
      <ns0:c r="B10" s="6">
        <ns0:f>COUNTIFS('Run 1'!F2:F50,"failed",'Run 1'!G2:G50,"")</ns0:f>
        <ns0:v>0</ns0:v>
      </ns0:c>
    </ns0:row>
    <ns0:row r="11" spans="1:2" ht="36.75" customHeight="1" ns3:dyDescent="0.25">
      <ns0:c r="A11" s="5" t="s">
        <ns0:v>143</ns0:v>
      </ns0:c>
      <ns0:c r="B11" s="6">
        <ns0:f>COUNTIFS('Run 1'!F2:F50,"blocked",'Run 1'!G2:G50,"")</ns0:f>
        <ns0:v>15</ns0:v>
      </ns0:c>
    </ns0:row>
    <ns0:row r="12" spans="1:2" ht="36.75" customHeight="1" ns3:dyDescent="0.25">
      <ns0:c r="A12" s="5" t="s">
        <ns0:v>144</ns0:v>
      </ns0:c>
      <ns0:c r="B12" s="6">
        <ns0:f>COUNTIFS('Run 1'!F2:F50,"passed",'Run 1'!G2:G50,"&lt;&gt;")</ns0:f>
        <ns0:v>0</ns0:v>
      </ns0:c>
    </ns0:row>
    <ns0:row r="13" spans="1:2" ht="36" customHeight="1" ns3:dyDescent="0.25">
      <ns0:c r="A13" s="11" t="s">
        <ns0:v>183</ns0:v>
      </ns0:c>
      <ns0:c r="B13" s="11" t="s">
        <ns0:v>184</ns0:v>
      </ns0:c>
    </ns0:row>
    <ns0:row r="14" spans="1:2" ht="36" customHeight="1" ns3:dyDescent="0.25">
      <ns0:c r="A14" s="12"/>
      <ns0:c r="B14" s="12"/>
    </ns0:row>
    <ns0:row r="15" spans="1:2" ht="36" customHeight="1" ns3:dyDescent="0.25">
      <ns0:c r="A15" s="11" t="s">
        <ns0:v>185</ns0:v>
      </ns0:c>
      <ns0:c r="B15" s="11" t="s">
        <ns0:v>186</ns0:v>
      </ns0:c>
    </ns0:row>
    <ns0:row r="16" spans="1:2" ns3:dyDescent="0.25">
      <ns0:c r="A16" s="5"/>
      <ns0:c r="B16" s="5"/>
    </ns0:row>
    <ns0:row r="17" spans="1:2" ht="26.1" customHeight="1" ns3:dyDescent="0.25">
      <ns0:c r="A17" s="17" t="s">
        <ns0:v>187</ns0:v>
      </ns0:c>
      <ns0:c r="B17" s="17" t="s">
        <ns0:v>93</ns0:v>
      </ns0:c>
    </ns0:row>
    <ns0:row r="18" spans="1:2" ns3:dyDescent="0.25">
      <ns0:c r="A18" s="5" t="s">
        <ns0:v>188</ns0:v>
      </ns0:c>
      <ns0:c r="B18" s="5">
        <ns0:f>COUNTA('Run 2 — retest'!B2:B16)</ns0:f>
        <ns0:v>15</ns0:v>
      </ns0:c>
    </ns0:row>
    <ns0:row r="19" spans="1:2" ns3:dyDescent="0.25">
      <ns0:c r="A19" s="1" t="s">
        <ns0:v>13</ns0:v>
      </ns0:c>
      <ns0:c r="B19" s="1">
        <ns0:f>COUNTIF('Run 2 — retest'!F2:F16,"passed")</ns0:f>
        <ns0:v>1</ns0:v>
      </ns0:c>
    </ns0:row>
    <ns0:row r="20" spans="1:2" ns3:dyDescent="0.25">
      <ns0:c r="A20" s="5" t="s">
        <ns0:v>29</ns0:v>
      </ns0:c>
      <ns0:c r="B20" s="5">
        <ns0:f>COUNTIF('Run 2 — retest'!F2:F16,"failed")</ns0:f>
        <ns0:v>12</ns0:v>
      </ns0:c>
    </ns0:row>
    <ns0:row r="21" spans="1:2" ns3:dyDescent="0.25">
      <ns0:c r="A21" s="5" t="s">
        <ns0:v>22</ns0:v>
      </ns0:c>
      <ns0:c r="B21" s="5">
        <ns0:f>COUNTIF('Run 2 — retest'!F2:F16,"blocked")</ns0:f>
        <ns0:v>2</ns0:v>
      </ns0:c>
    </ns0:row>
    <ns0:row r="22" spans="1:2" ns3:dyDescent="0.25">
      <ns0:c r="A22" s="5" t="s">
        <ns0:v>137</ns0:v>
      </ns0:c>
      <ns0:c r="B22" s="5">
        <ns0:f>COUNTIF('Run 2 — retest'!F2:F16,"skipped")</ns0:f>
        <ns0:v>0</ns0:v>
      </ns0:c>
    </ns0:row>
    <ns0:row r="23" spans="1:2" ns3:dyDescent="0.25">
      <ns0:c r="A23" s="5" t="s">
        <ns0:v>142</ns0:v>
      </ns0:c>
      <ns0:c r="B23" s="5">
        <ns0:f>COUNTIFS('Run 2 — retest'!F2:F16,"failed",'Run 2 — retest'!G2:G16,"")</ns0:f>
        <ns0:v>0</ns0:v>
      </ns0:c>
    </ns0:row>
    <ns0:row r="24" spans="1:2" ht="30" ns3:dyDescent="0.25">
      <ns0:c r="A24" s="5" t="s">
        <ns0:v>189</ns0:v>
      </ns0:c>
      <ns0:c r="B24" s="11" t="s">
        <ns0:v>190</ns0:v>
      </ns0:c>
    </ns0:row>
    <ns0:row r="25" spans="1:2" ns3:dyDescent="0.25">
      <ns0:c r="A25" s="5"/>
      <ns0:c r="B25" s="5"/>
    </ns0:row>
  </ns0:sheetData>
  <ns0:pageMargins left="0.7" right="0.7" top="0.75" bottom="0.75" header="0.3" footer="0.3"/>
</ns0: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"/>
  <sheetViews>
    <sheetView workbookViewId="0">
      <pane ySplit="1" topLeftCell="A5" activePane="bottomLeft" state="frozen"/>
      <selection pane="bottomLeft" activeCell="E16" sqref="E16"/>
    </sheetView>
  </sheetViews>
  <sheetFormatPr defaultRowHeight="12.75" x14ac:dyDescent="0.2"/>
  <cols>
    <col min="1" max="1" width="15" customWidth="1"/>
    <col min="2" max="2" width="14" customWidth="1"/>
    <col min="3" max="3" width="44" customWidth="1"/>
    <col min="4" max="4" width="23" customWidth="1"/>
    <col min="5" max="5" width="39" customWidth="1"/>
    <col min="6" max="6" width="55" customWidth="1"/>
    <col min="7" max="7" width="38" customWidth="1"/>
    <col min="8" max="8" width="55" customWidth="1"/>
  </cols>
  <sheetData>
    <row r="1" spans="1:8" ht="33.950000000000003" customHeight="1" x14ac:dyDescent="0.2">
      <c r="A1" s="8" t="s">
        <v>2</v>
      </c>
      <c r="B1" s="8" t="s">
        <v>6</v>
      </c>
      <c r="C1" s="8" t="s">
        <v>191</v>
      </c>
      <c r="D1" s="8" t="s">
        <v>3</v>
      </c>
      <c r="E1" s="8" t="s">
        <v>4</v>
      </c>
      <c r="F1" s="8" t="s">
        <v>192</v>
      </c>
      <c r="G1" s="8" t="s">
        <v>193</v>
      </c>
      <c r="H1" s="8" t="s">
        <v>194</v>
      </c>
    </row>
    <row r="2" spans="1:8" ht="72.95" customHeight="1" x14ac:dyDescent="0.2">
      <c r="A2" s="9" t="s">
        <v>195</v>
      </c>
      <c r="B2" s="9" t="s">
        <v>196</v>
      </c>
      <c r="C2" s="9" t="s">
        <v>197</v>
      </c>
      <c r="D2" s="9" t="s">
        <v>11</v>
      </c>
      <c r="E2" s="9" t="s">
        <v>276</v>
      </c>
      <c r="F2" s="9" t="s">
        <v>198</v>
      </c>
      <c r="G2" s="9" t="s">
        <v>199</v>
      </c>
      <c r="H2" s="9" t="s">
        <v>200</v>
      </c>
    </row>
    <row r="3" spans="1:8" ht="72.95" customHeight="1" x14ac:dyDescent="0.2">
      <c r="A3" s="9" t="s">
        <v>195</v>
      </c>
      <c r="B3" s="9" t="s">
        <v>201</v>
      </c>
      <c r="C3" s="9" t="s">
        <v>202</v>
      </c>
      <c r="D3" s="9" t="s">
        <v>11</v>
      </c>
      <c r="E3" s="9" t="s">
        <v>276</v>
      </c>
      <c r="F3" s="9" t="s">
        <v>203</v>
      </c>
      <c r="G3" s="9" t="s">
        <v>199</v>
      </c>
      <c r="H3" s="9" t="s">
        <v>204</v>
      </c>
    </row>
    <row r="4" spans="1:8" ht="72.95" customHeight="1" x14ac:dyDescent="0.2">
      <c r="A4" s="9" t="s">
        <v>195</v>
      </c>
      <c r="B4" s="9" t="s">
        <v>205</v>
      </c>
      <c r="C4" s="9" t="s">
        <v>206</v>
      </c>
      <c r="D4" s="9" t="s">
        <v>11</v>
      </c>
      <c r="E4" s="9" t="s">
        <v>277</v>
      </c>
      <c r="F4" s="9" t="s">
        <v>207</v>
      </c>
      <c r="G4" s="9" t="s">
        <v>208</v>
      </c>
      <c r="H4" s="9" t="s">
        <v>209</v>
      </c>
    </row>
    <row r="5" spans="1:8" ht="72.95" customHeight="1" x14ac:dyDescent="0.2">
      <c r="A5" s="9" t="s">
        <v>195</v>
      </c>
      <c r="B5" s="9" t="s">
        <v>210</v>
      </c>
      <c r="C5" s="9" t="s">
        <v>211</v>
      </c>
      <c r="D5" s="9" t="s">
        <v>11</v>
      </c>
      <c r="E5" s="9" t="s">
        <v>278</v>
      </c>
      <c r="F5" s="9" t="s">
        <v>212</v>
      </c>
      <c r="G5" s="9" t="s">
        <v>208</v>
      </c>
      <c r="H5" s="9" t="s">
        <v>213</v>
      </c>
    </row>
    <row r="6" spans="1:8" ht="72.95" customHeight="1" x14ac:dyDescent="0.2">
      <c r="A6" s="9" t="s">
        <v>195</v>
      </c>
      <c r="B6" s="9" t="s">
        <v>214</v>
      </c>
      <c r="C6" s="9" t="s">
        <v>215</v>
      </c>
      <c r="D6" s="9" t="s">
        <v>11</v>
      </c>
      <c r="E6" s="9" t="s">
        <v>277</v>
      </c>
      <c r="F6" s="9" t="s">
        <v>216</v>
      </c>
      <c r="G6" s="9" t="s">
        <v>217</v>
      </c>
      <c r="H6" s="9" t="s">
        <v>218</v>
      </c>
    </row>
    <row r="7" spans="1:8" x14ac:dyDescent="0.2">
      <c r="A7" t="s">
        <v>195</v>
      </c>
      <c r="B7" t="s">
        <v>219</v>
      </c>
      <c r="C7" t="s">
        <v>220</v>
      </c>
      <c r="D7" t="s">
        <v>11</v>
      </c>
      <c r="E7" t="s">
        <v>279</v>
      </c>
      <c r="F7" t="s">
        <v>221</v>
      </c>
      <c r="G7" t="s">
        <v>222</v>
      </c>
      <c r="H7" t="s">
        <v>223</v>
      </c>
    </row>
    <row r="8" spans="1:8" ht="50.1" customHeight="1" x14ac:dyDescent="0.2">
      <c r="A8" s="9" t="s">
        <v>195</v>
      </c>
      <c r="B8" s="9" t="s">
        <v>88</v>
      </c>
      <c r="C8" s="9" t="s">
        <v>224</v>
      </c>
      <c r="D8" s="9" t="s">
        <v>11</v>
      </c>
      <c r="E8" s="9" t="s">
        <v>279</v>
      </c>
      <c r="F8" s="9" t="s">
        <v>225</v>
      </c>
      <c r="G8" s="9" t="s">
        <v>226</v>
      </c>
      <c r="H8" s="9" t="s">
        <v>227</v>
      </c>
    </row>
    <row r="9" spans="1:8" ht="50.1" customHeight="1" x14ac:dyDescent="0.2">
      <c r="A9" s="9" t="s">
        <v>195</v>
      </c>
      <c r="B9" s="9" t="s">
        <v>228</v>
      </c>
      <c r="C9" s="9" t="s">
        <v>229</v>
      </c>
      <c r="D9" s="9" t="s">
        <v>11</v>
      </c>
      <c r="E9" s="9" t="s">
        <v>276</v>
      </c>
      <c r="F9" s="9" t="s">
        <v>230</v>
      </c>
      <c r="G9" s="9" t="s">
        <v>231</v>
      </c>
      <c r="H9" s="9" t="s">
        <v>232</v>
      </c>
    </row>
    <row r="10" spans="1:8" ht="50.1" customHeight="1" x14ac:dyDescent="0.2">
      <c r="A10" s="9" t="s">
        <v>195</v>
      </c>
      <c r="B10" s="9" t="s">
        <v>233</v>
      </c>
      <c r="C10" s="9" t="s">
        <v>234</v>
      </c>
      <c r="D10" s="9" t="s">
        <v>11</v>
      </c>
      <c r="E10" s="9" t="s">
        <v>276</v>
      </c>
      <c r="F10" s="9" t="s">
        <v>235</v>
      </c>
      <c r="G10" s="9" t="s">
        <v>236</v>
      </c>
      <c r="H10" s="9" t="s">
        <v>237</v>
      </c>
    </row>
    <row r="11" spans="1:8" ht="38.25" x14ac:dyDescent="0.2">
      <c r="A11" s="9" t="s">
        <v>195</v>
      </c>
      <c r="B11" s="9" t="s">
        <v>238</v>
      </c>
      <c r="C11" s="9" t="s">
        <v>239</v>
      </c>
      <c r="D11" s="9" t="s">
        <v>11</v>
      </c>
      <c r="E11" s="9" t="s">
        <v>240</v>
      </c>
      <c r="F11" s="9" t="s">
        <v>241</v>
      </c>
      <c r="G11" s="9" t="s">
        <v>242</v>
      </c>
      <c r="H11" s="9" t="s">
        <v>243</v>
      </c>
    </row>
  </sheetData>
  <pageMargins left="0.7" right="0.7" top="0.75" bottom="0.75" header="0.3" footer="0.3"/>
</worksheet>
</file>

<file path=xl/worksheets/sheet5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400-000000000000}">
  <ns0:dimension ref="A1:H16"/>
  <ns0:sheetViews>
    <ns0:sheetView tabSelected="1" topLeftCell="A7" workbookViewId="0">
      <ns0:selection activeCell="H20" sqref="H20"/>
    </ns0:sheetView>
  </ns0:sheetViews>
  <ns0:sheetFormatPr defaultRowHeight="12.75" ns3:dyDescent="0.2"/>
  <ns0:cols>
    <ns0:col min="1" max="2" width="13" customWidth="1"/>
    <ns0:col min="3" max="3" width="15" customWidth="1"/>
    <ns0:col min="4" max="4" width="36" customWidth="1"/>
    <ns0:col min="5" max="5" width="51" customWidth="1"/>
    <ns0:col min="6" max="6" width="13" customWidth="1"/>
    <ns0:col min="7" max="7" width="15" customWidth="1"/>
    <ns0:col min="8" max="8" width="85" customWidth="1"/>
  </ns0:cols>
  <ns0:sheetData>
    <ns0:row r="1" spans="1:8" ht="27.95" customHeight="1" ns3:dyDescent="0.2">
      <ns0:c r="A1" s="13" t="s">
        <ns0:v>0</ns0:v>
      </ns0:c>
      <ns0:c r="B1" s="13" t="s">
        <ns0:v>1</ns0:v>
      </ns0:c>
      <ns0:c r="C1" s="13" t="s">
        <ns0:v>2</ns0:v>
      </ns0:c>
      <ns0:c r="D1" s="13" t="s">
        <ns0:v>3</ns0:v>
      </ns0:c>
      <ns0:c r="E1" s="13" t="s">
        <ns0:v>4</ns0:v>
      </ns0:c>
      <ns0:c r="F1" s="13" t="s">
        <ns0:v>5</ns0:v>
      </ns0:c>
      <ns0:c r="G1" s="13" t="s">
        <ns0:v>6</ns0:v>
      </ns0:c>
      <ns0:c r="H1" s="13" t="s">
        <ns0:v>7</ns0:v>
      </ns0:c>
    </ns0:row>
    <ns0:row r="2" spans="1:8" ht="63.95" customHeight="1" ns3:dyDescent="0.2">
      <ns0:c r="A2" t="s">
        <ns0:v>244</ns0:v>
      </ns0:c>
      <ns0:c r="B2" t="s">
        <ns0:v>21</ns0:v>
      </ns0:c>
      <ns0:c r="C2" t="s">
        <ns0:v>245</ns0:v>
      </ns0:c>
      <ns0:c r="D2" s="9" t="s">
        <ns0:v>246</ns0:v>
      </ns0:c>
      <ns0:c r="E2" s="9" t="s">
        <ns0:v>247</ns0:v>
      </ns0:c>
      <ns0:c r="F2" s="14" t="s">
        <ns0:v>22</ns0:v>
      </ns0:c>
      <ns0:c r="H2" s="9" t="s">
        <ns0:v>248</ns0:v>
      </ns0:c>
    </ns0:row>
    <ns0:row r="3" spans="1:8" ht="63.95" customHeight="1" ns3:dyDescent="0.2">
      <ns0:c r="A3" t="s">
        <ns0:v>244</ns0:v>
      </ns0:c>
      <ns0:c r="B3" t="s">
        <ns0:v>28</ns0:v>
      </ns0:c>
      <ns0:c r="C3" t="s">
        <ns0:v>245</ns0:v>
      </ns0:c>
      <ns0:c r="D3" s="9" t="s">
        <ns0:v>246</ns0:v>
      </ns0:c>
      <ns0:c r="E3" s="9" t="s">
        <ns0:v>247</ns0:v>
      </ns0:c>
      <ns0:c r="F3" s="15" t="s">
        <ns0:v>29</ns0:v>
      </ns0:c>
      <ns0:c r="G3" t="s">
        <ns0:v>30</ns0:v>
      </ns0:c>
      <ns0:c r="H3" s="9" t="s">
        <ns0:v>249</ns0:v>
      </ns0:c>
    </ns0:row>
    <ns0:row r="4" spans="1:8" ht="63.95" customHeight="1" ns3:dyDescent="0.2">
      <ns0:c r="A4" t="s">
        <ns0:v>244</ns0:v>
      </ns0:c>
      <ns0:c r="B4" t="s">
        <ns0:v>32</ns0:v>
      </ns0:c>
      <ns0:c r="C4" t="s">
        <ns0:v>245</ns0:v>
      </ns0:c>
      <ns0:c r="D4" s="9" t="s">
        <ns0:v>246</ns0:v>
      </ns0:c>
      <ns0:c r="E4" s="9" t="s">
        <ns0:v>247</ns0:v>
      </ns0:c>
      <ns0:c r="F4" s="15" t="s">
        <ns0:v>29</ns0:v>
      </ns0:c>
      <ns0:c r="G4" t="s">
        <ns0:v>33</ns0:v>
      </ns0:c>
      <ns0:c r="H4" s="9" t="s">
        <ns0:v>250</ns0:v>
      </ns0:c>
    </ns0:row>
    <ns0:row r="5" spans="1:8" ht="63.95" customHeight="1" ns3:dyDescent="0.2">
      <ns0:c r="A5" t="s">
        <ns0:v>244</ns0:v>
      </ns0:c>
      <ns0:c r="B5" t="s">
        <ns0:v>39</ns0:v>
      </ns0:c>
      <ns0:c r="C5" t="s">
        <ns0:v>245</ns0:v>
      </ns0:c>
      <ns0:c r="D5" s="9" t="s">
        <ns0:v>246</ns0:v>
      </ns0:c>
      <ns0:c r="E5" s="9" t="s">
        <ns0:v>247</ns0:v>
      </ns0:c>
      <ns0:c r="F5" s="14" t="s">
        <ns0:v>22</ns0:v>
      </ns0:c>
      <ns0:c r="H5" s="9" t="s">
        <ns0:v>251</ns0:v>
      </ns0:c>
    </ns0:row>
    <ns0:row r="6" spans="1:8" ht="63.95" customHeight="1" ns3:dyDescent="0.2">
      <ns0:c r="A6" t="s">
        <ns0:v>244</ns0:v>
      </ns0:c>
      <ns0:c r="B6" t="s">
        <ns0:v>51</ns0:v>
      </ns0:c>
      <ns0:c r="C6" t="s">
        <ns0:v>245</ns0:v>
      </ns0:c>
      <ns0:c r="D6" s="9" t="s">
        <ns0:v>246</ns0:v>
      </ns0:c>
      <ns0:c r="E6" s="9" t="s">
        <ns0:v>247</ns0:v>
      </ns0:c>
      <ns0:c r="F6" s="16" t="s">
        <ns0:v>13</ns0:v>
      </ns0:c>
      <ns0:c r="H6" s="9" t="s">
        <ns0:v>252</ns0:v>
      </ns0:c>
    </ns0:row>
    <ns0:row r="7" spans="1:8" ht="63.95" customHeight="1" ns3:dyDescent="0.2">
      <ns0:c r="A7" t="s">
        <ns0:v>244</ns0:v>
      </ns0:c>
      <ns0:c r="B7" t="s">
        <ns0:v>66</ns0:v>
      </ns0:c>
      <ns0:c r="C7" t="s">
        <ns0:v>245</ns0:v>
      </ns0:c>
      <ns0:c r="D7" s="9" t="s">
        <ns0:v>246</ns0:v>
      </ns0:c>
      <ns0:c r="E7" s="9" t="s">
        <ns0:v>253</ns0:v>
      </ns0:c>
      <ns0:c r="F7" s="15" t="s">
        <ns0:v>29</ns0:v>
      </ns0:c>
      <ns0:c r="G7" t="s">
        <ns0:v>254</ns0:v>
      </ns0:c>
      <ns0:c r="H7" s="9" t="s">
        <ns0:v>255</ns0:v>
      </ns0:c>
    </ns0:row>
    <ns0:row r="8" spans="1:8" ht="63.95" customHeight="1" ns3:dyDescent="0.2">
      <ns0:c r="A8" t="s">
        <ns0:v>244</ns0:v>
      </ns0:c>
      <ns0:c r="B8" t="s">
        <ns0:v>69</ns0:v>
      </ns0:c>
      <ns0:c r="C8" t="s">
        <ns0:v>245</ns0:v>
      </ns0:c>
      <ns0:c r="D8" s="9" t="s">
        <ns0:v>246</ns0:v>
      </ns0:c>
      <ns0:c r="E8" s="9" t="s">
        <ns0:v>256</ns0:v>
      </ns0:c>
      <ns0:c r="F8" s="15" t="s">
        <ns0:v>29</ns0:v>
      </ns0:c>
      <ns0:c r="G8" t="s">
        <ns0:v>70</ns0:v>
      </ns0:c>
      <ns0:c r="H8" s="9" t="s">
        <ns0:v>257</ns0:v>
      </ns0:c>
    </ns0:row>
    <ns0:row r="9" spans="1:8" ht="63.95" customHeight="1" ns3:dyDescent="0.2">
      <ns0:c r="A9" t="s">
        <ns0:v>244</ns0:v>
      </ns0:c>
      <ns0:c r="B9" t="s">
        <ns0:v>72</ns0:v>
      </ns0:c>
      <ns0:c r="C9" t="s">
        <ns0:v>245</ns0:v>
      </ns0:c>
      <ns0:c r="D9" s="9" t="s">
        <ns0:v>246</ns0:v>
      </ns0:c>
      <ns0:c r="E9" s="9" t="s">
        <ns0:v>247</ns0:v>
      </ns0:c>
      <ns0:c r="F9" s="15" t="s">
        <ns0:v>29</ns0:v>
      </ns0:c>
      <ns0:c r="G9" t="s">
        <ns0:v>196</ns0:v>
      </ns0:c>
      <ns0:c r="H9" s="9" t="inlineStr">
        <ns0:is>
          <ns0:t>У адмінпанелі створено 104 (Twin, £127, WiFi), проте на скриншоті Our Rooms відображено лише Single, Double, Suite; 104 відсутній. F-90.
Узгодження редакцій 30.10.2026: Чинна редакція TC-039: перевірка картки — крок 14. Згадані кроки 8/9 та видалення належать історичній редакції; видалення у чинній редакції перевіряє TC-040, крок 6.</ns0:t>
        </ns0:is>
      </ns0:c>
    </ns0:row>
    <ns0:row r="10" spans="1:8" ht="63.95" customHeight="1" ns3:dyDescent="0.2">
      <ns0:c r="A10" t="s">
        <ns0:v>244</ns0:v>
      </ns0:c>
      <ns0:c r="B10" t="s">
        <ns0:v>75</ns0:v>
      </ns0:c>
      <ns0:c r="C10" t="s">
        <ns0:v>245</ns0:v>
      </ns0:c>
      <ns0:c r="D10" s="9" t="s">
        <ns0:v>246</ns0:v>
      </ns0:c>
      <ns0:c r="E10" s="9" t="s">
        <ns0:v>247</ns0:v>
      </ns0:c>
      <ns0:c r="F10" s="15" t="s">
        <ns0:v>29</ns0:v>
      </ns0:c>
      <ns0:c r="G10" t="s">
        <ns0:v>201</ns0:v>
      </ns0:c>
      <ns0:c r="H10" s="9" t="inlineStr">
        <ns0:is>
          <ns0:t>Після натискання × створений 104 (Twin, £127) не видаляється. За уточненням команди така сама поведінка для тестового BR-205 (Twin, £127). F-90. Доказ 30.10: BUG-009-4/5.png (BR-205 до і після натискання ×).
Узгодження редакцій 30.10.2026: Чинна редакція TC-040: натискання видалення — крок 6. Публічна видимість нової картки перевіряється окремо у TC-039, крок 14.</ns0:t>
        </ns0:is>
      </ns0:c>
    </ns0:row>
    <ns0:row r="11" spans="1:8" ht="63.95" customHeight="1" ns3:dyDescent="0.2">
      <ns0:c r="A11" t="s">
        <ns0:v>244</ns0:v>
      </ns0:c>
      <ns0:c r="B11" t="s">
        <ns0:v>87</ns0:v>
      </ns0:c>
      <ns0:c r="C11" t="s">
        <ns0:v>245</ns0:v>
      </ns0:c>
      <ns0:c r="D11" s="9" t="s">
        <ns0:v>246</ns0:v>
      </ns0:c>
      <ns0:c r="E11" s="9" t="s">
        <ns0:v>247</ns0:v>
      </ns0:c>
      <ns0:c r="F11" s="15" t="s">
        <ns0:v>29</ns0:v>
      </ns0:c>
      <ns0:c r="G11" t="s">
        <ns0:v>88</ns0:v>
      </ns0:c>
      <ns0:c r="H11" s="9" t="inlineStr">
        <ns0:is>
          <ns0:t>За повідомленням тестувальника після Book Now виникає нескінченне завантаження; повторний результат TC-048. Додатковий доказ 30.10: BUG-010-2/3.png (Chrome Incognito; версію зафіксовано окремо).
Узгодження редакцій 30.10.2026: Чинна редакція TC-048: Book now у картці — крок 7 (у первинному протоколі — крок 5). Невідповідність браузера/невідоме середовище історичного виконання збережено.</ns0:t>
        </ns0:is>
      </ns0:c>
    </ns0:row>
    <ns0:row r="12" spans="1:8" ht="63.95" customHeight="1" ns3:dyDescent="0.2">
      <ns0:c r="A12" t="s">
        <ns0:v>244</ns0:v>
      </ns0:c>
      <ns0:c r="B12" t="s">
        <ns0:v>90</ns0:v>
      </ns0:c>
      <ns0:c r="C12" t="s">
        <ns0:v>245</ns0:v>
      </ns0:c>
      <ns0:c r="D12" s="9" t="s">
        <ns0:v>261</ns0:v>
      </ns0:c>
      <ns0:c r="E12" s="9" t="s">
        <ns0:v>262</ns0:v>
      </ns0:c>
      <ns0:c r="F12" s="15" t="s">
        <ns0:v>29</ns0:v>
      </ns0:c>
      <ns0:c r="G12" t="s">
        <ns0:v>88</ns0:v>
      </ns0:c>
      <ns0:c r="H12" s="9" t="inlineStr">
        <ns0:is>
          <ns0:t>Повторний прогін у Firefox дав такий самий результат: нескінченне завантаження після Book Now.
Узгодження редакцій 30.10.2026: Чинна редакція TC-049: Book now у картці — крок 7 (у первинному протоколі — крок 5). Версія Firefox історичного виконання не встановлена.</ns0:t>
        </ns0:is>
      </ns0:c>
    </ns0:row>
    <ns0:row r="13" spans="1:8" ht="63.95" customHeight="1" ns3:dyDescent="0.2">
      <ns0:c r="A13" t="s">
        <ns0:v>244</ns0:v>
      </ns0:c>
      <ns0:c r="B13" t="s">
        <ns0:v>80</ns0:v>
      </ns0:c>
      <ns0:c r="C13" t="s">
        <ns0:v>195</ns0:v>
      </ns0:c>
      <ns0:c r="D13" s="9" t="s">
        <ns0:v>264</ns0:v>
      </ns0:c>
      <ns0:c r="E13" s="9" t="s">
        <ns0:v>265</ns0:v>
      </ns0:c>
      <ns0:c r="F13" s="16" t="s">
        <ns0:v>29</ns0:v>
      </ns0:c>
      <ns0:c r="G13" t="s">
        <ns0:v>266</ns0:v>
      </ns0:c>
      <ns0:c r="H13" s="9" t="s">
        <ns0:v>267</ns0:v>
      </ns0:c>
    </ns0:row>
    <ns0:row r="14" spans="1:8" ns3:dyDescent="0.2">
      <ns0:c r="A14" t="s">
        <ns0:v>244</ns0:v>
      </ns0:c>
      <ns0:c r="B14" t="s">
        <ns0:v>15</ns0:v>
      </ns0:c>
      <ns0:c r="C14" t="s">
        <ns0:v>195</ns0:v>
      </ns0:c>
      <ns0:c r="D14" t="s">
        <ns0:v>11</ns0:v>
      </ns0:c>
      <ns0:c r="E14" t="s">
        <ns0:v>268</ns0:v>
      </ns0:c>
      <ns0:c r="F14" t="s">
        <ns0:v>29</ns0:v>
      </ns0:c>
      <ns0:c r="G14" t="s">
        <ns0:v>269</ns0:v>
      </ns0:c>
      <ns0:c r="H14" t="s">
        <ns0:v>270</ns0:v>
      </ns0:c>
    </ns0:row>
    <ns0:row r="15" spans="1:8" ns3:dyDescent="0.2">
      <ns0:c r="A15" t="s">
        <ns0:v>244</ns0:v>
      </ns0:c>
      <ns0:c r="B15" t="s">
        <ns0:v>82</ns0:v>
      </ns0:c>
      <ns0:c r="C15" t="s">
        <ns0:v>195</ns0:v>
      </ns0:c>
      <ns0:c r="D15" t="s">
        <ns0:v>11</ns0:v>
      </ns0:c>
      <ns0:c r="E15" t="s">
        <ns0:v>271</ns0:v>
      </ns0:c>
      <ns0:c r="F15" t="s">
        <ns0:v>29</ns0:v>
      </ns0:c>
      <ns0:c r="G15" t="s">
        <ns0:v>214</ns0:v>
      </ns0:c>
      <ns0:c r="H15" t="inlineStr">
        <ns0:is>
          <ns0:t>Підготовлено дані: BR Reader / BR message 001 є в Messages (BUG-014-3.png). За повідомленням виконавця, крок 8 чинної редакції (у первинному протоколі — 7) не проходить: натискання на повідомлення не відкриває його, стан непрочитаного зберігається. Скриншот разом із журналом і підтвердженням виконавця прийнято як доказ невдалого відкриття; додатковий знімок натискання не потрібен. Це документальне рецензування, не незалежний аудит. Історичний Run 1 (blocked через відсутні дані) незмінний.
Узгодження редакцій 30.10.2026: Чинна редакція TC-043: відкриття повідомлення — крок 8 (у первинному протоколі — крок 7).</ns0:t>
        </ns0:is>
      </ns0:c>
    </ns0:row>
    <ns0:row r="16" spans="1:8" ns3:dyDescent="0.2">
      <ns0:c r="A16" t="s">
        <ns0:v>244</ns0:v>
      </ns0:c>
      <ns0:c r="B16" t="s">
        <ns0:v>83</ns0:v>
      </ns0:c>
      <ns0:c r="C16" t="s">
        <ns0:v>195</ns0:v>
      </ns0:c>
      <ns0:c r="D16" t="s">
        <ns0:v>11</ns0:v>
      </ns0:c>
      <ns0:c r="E16" t="s">
        <ns0:v>273</ns0:v>
      </ns0:c>
      <ns0:c r="F16" t="s">
        <ns0:v>29</ns0:v>
      </ns0:c>
      <ns0:c r="G16" t="s">
        <ns0:v>274</ns0:v>
      </ns0:c>
      <ns0:c r="H16" t="inlineStr">
        <ns0:is>
          <ns0:t>BR Reader / BR message 002 створено й видно в Messages (BUG-018-1.png). За повідомленням виконавця, натискання × у рядку повідомлення не видаляє його: рядок залишається, тому крок 7 чинної редакції TC-044 (у первинному протоколі — 6) — Failed (BUG-018). Наявні скриншоти й підтвердження виконавця прийнято як доказ результату; новий ідентичний кадр не потрібен. Окрему поведінку після F5 не перевіряли; це не змінює Failed на кроці 7 чинної редакції. Run 1 залишено як історичний blocked.
Узгодження редакцій 30.10.2026: Чинна редакція TC-044: видалення повідомлення — крок 7 (у первинному протоколі — крок 6). Перевірка після F5 не підтверджена, Failed встановлено за невдалим натисканням.</ns0:t>
        </ns0:is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5</vt:i4>
      </vt:variant>
    </vt:vector>
  </HeadingPairs>
  <TitlesOfParts>
    <vt:vector size="5" baseType="lpstr">
      <vt:lpstr>Run 1</vt:lpstr>
      <vt:lpstr>Environment</vt:lpstr>
      <vt:lpstr>Summary</vt:lpstr>
      <vt:lpstr>Exploratory 30.10</vt:lpstr>
      <vt:lpstr>Run 2 — retest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aphiosemion</cp:lastModifiedBy>
  <dcterms:modified xsi:type="dcterms:W3CDTF">2026-10-30T16:15:59Z</dcterms:modified>
</cp:coreProperties>
</file>