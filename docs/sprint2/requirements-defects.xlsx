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7"/>
  </bookViews>
  <sheets>
    <sheet name="Реєстр" sheetId="1" state="visible" r:id="rId3"/>
    <sheet name="Розподіл розділів" sheetId="2" state="visible" r:id="rId4"/>
    <sheet name="Спірні" sheetId="3" state="visible" r:id="rId5"/>
    <sheet name="Підсумок" sheetId="4" state="visible" r:id="rId6"/>
    <sheet name="Аудит_Гатченко" sheetId="5" state="visible" r:id="rId7"/>
    <sheet name="Аудит_Сирота" sheetId="6" state="visible" r:id="rId8"/>
    <sheet name="Аудит_Сімутін" sheetId="7" state="visible" r:id="rId9"/>
    <sheet name="Аудит_Тіньков" sheetId="8" state="visible" r:id="rId10"/>
    <sheet name="Аудит_Кмець" sheetId="9" state="visible" r:id="rId11"/>
  </sheets>
  <definedNames>
    <definedName function="false" hidden="true" localSheetId="0" name="_xlnm._FilterDatabase" vbProcedure="false">Реєстр!$A$4:$H$35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<sst xmlns="http://schemas.openxmlformats.org/spreadsheetml/2006/main" count="957" uniqueCount="354">
  <si>
    <t xml:space="preserve">Реєстр дефектів вимог. Продукт «СтейНау» (StayNow), SRS 1.0 (SN-SRS-01). Команда Backrooms. Спринт 2</t>
  </si>
  <si>
    <t xml:space="preserve">Автор зведення: Сирота В. О. (Тест-аналітик). Модератор: Гатченко Я. Р. (Керівник тестування). Один рядок — один дефект.</t>
  </si>
  <si>
    <t xml:space="preserve">№</t>
  </si>
  <si>
    <t xml:space="preserve">ID вимоги</t>
  </si>
  <si>
    <t xml:space="preserve">Критерій (головний)</t>
  </si>
  <si>
    <t xml:space="preserve">Опис дефекту (пункт чек-листа і цитата)</t>
  </si>
  <si>
    <t xml:space="preserve">Пропозиція виправлення</t>
  </si>
  <si>
    <t xml:space="preserve">Хто знайшов</t>
  </si>
  <si>
    <t xml:space="preserve">Статус</t>
  </si>
  <si>
    <t xml:space="preserve">Потребує підтвердження замовником</t>
  </si>
  <si>
    <t xml:space="preserve">F-10</t>
  </si>
  <si>
    <t xml:space="preserve">повнота</t>
  </si>
  <si>
    <t xml:space="preserve">Повнота, п. 2: «Усі необхідні вимоги присутні». У F-10 згадано пункти меню «Amenities», «Location» і кнопку «Book Now», але їхню поведінку не описано: прокручування вказано лише для «Rooms», «Booking», «Contact».</t>
  </si>
  <si>
    <t xml:space="preserve">«…Пункти «Rooms», «Booking», «Amenities», «Location», «Contact» прокручують сторінку до відповідного розділу; кнопка «Book Now» прокручує до віджета «Check Availability &amp; Book Your Stay»; «Admin» відкриває сторінку входу до адмінпанелі /admin.»</t>
  </si>
  <si>
    <t xml:space="preserve">Сімутін В., Тіньков Д.</t>
  </si>
  <si>
    <t xml:space="preserve">прийнято</t>
  </si>
  <si>
    <t xml:space="preserve">так</t>
  </si>
  <si>
    <t xml:space="preserve">F-20</t>
  </si>
  <si>
    <t xml:space="preserve">несуперечливість</t>
  </si>
  <si>
    <t xml:space="preserve">Несуперечливість, п. 2: F-20 називає типи Single, Double, Suite і зручності TV, WiFi, Safe, Radio, а F-90 дозволяє створити номер типу Single, Twin, Double, Family, Suite із зручностями WiFi, TV, Radio, Refreshments, Safe, Views і вимагає, щоб він з'явився в «Our Rooms». Номер Twin чи зручність Views не можна показати за F-20.</t>
  </si>
  <si>
    <t xml:space="preserve">F-20: «…для кожного номера показуються тип (Single, Twin, Double, Family або Suite), опис, зручності (WiFi, TV, Radio, Refreshments, Safe, Views), ціна «£N per night» і кнопка «Book now»…»</t>
  </si>
  <si>
    <t xml:space="preserve">Тіньков Д.</t>
  </si>
  <si>
    <t xml:space="preserve">прийнято після обговорення</t>
  </si>
  <si>
    <t xml:space="preserve">F-30</t>
  </si>
  <si>
    <t xml:space="preserve">Повнота, п. 4–5: не обумовлено недопустимі вхідні дані віджета й реакцію на них — не обрано одну з дат, виїзд не пізніший за заїзд, заїзд у минулому.</t>
  </si>
  <si>
    <t xml:space="preserve">Додати до F-30: «Якщо одну з дат не обрано, дата виїзду не пізніша за дату заїзду або дата заїзду раніша за поточну, система не оновлює перелік номерів і показує повідомлення про помилку (вимоги до тексту — GUI-60).»</t>
  </si>
  <si>
    <t xml:space="preserve">Сімутін В.</t>
  </si>
  <si>
    <t xml:space="preserve">F-40</t>
  </si>
  <si>
    <t xml:space="preserve">тестопридатність</t>
  </si>
  <si>
    <t xml:space="preserve">Тестопридатність (4.7): слова-маркери «швидко» і «без помилок за будь-яких умов» не мають чисел і умов, тож не можна написати тест-кейс з однозначним результатом «пройдено / не пройдено». «Швидко» водночас порушує однозначність; головним обрано тестопридатність, бо виправлення додає вимірювані значення.</t>
  </si>
  <si>
    <t xml:space="preserve">«Після натискання «Check Availability» перелік номерів оновлюється не довше ніж за 3 с; перелік не містить жодного номера, зайнятого хоча б на одну ніч інтервалу [заїзд, виїзд).»</t>
  </si>
  <si>
    <t xml:space="preserve">GUI-50</t>
  </si>
  <si>
    <t xml:space="preserve">Несуперечливість, п. 2: GUI-50 вимагає «Service fee» £10, а F-50 — «Service fee» £15 і Total = добуток + 25 + 15. Для одного рядка «Price Summary» існують два очікувані результати.</t>
  </si>
  <si>
    <t xml:space="preserve">GUI-50: «…«Cleaning fee» £25, «Service fee» £15 та підсумковий рядок «Total» напівжирним шрифтом.» (значення £15 узгоджене з формулою Total у F-50).</t>
  </si>
  <si>
    <t xml:space="preserve">Сирота В., Кмець М.</t>
  </si>
  <si>
    <t xml:space="preserve">F-60</t>
  </si>
  <si>
    <t xml:space="preserve">однозначність</t>
  </si>
  <si>
    <t xml:space="preserve">Однозначність, п. 1 і 4: «надсилає гостю підтвердження» не визначає канал, зміст і момент; у SRS немає вимог до пошти, тож фраза допускає кілька тлумачень (лист, повідомлення на сторінці).</t>
  </si>
  <si>
    <t xml:space="preserve">«…система перевіряє поля, зберігає бронювання на вибрані дати і показує гостю на сторінці підтвердження заголовок «Booking Confirmed» з датами заїзду й виїзду; надсилання листа гостю — у цільовій версії продукту.»</t>
  </si>
  <si>
    <t xml:space="preserve">F-80 (дубль)</t>
  </si>
  <si>
    <t xml:space="preserve">простежуваність</t>
  </si>
  <si>
    <t xml:space="preserve">Простежуваність, п. 1–2: дві різні вимоги — вхід (розд. 3, рядок 8) і завершення сеансу «Logout» (рядок 9) — мають однаковий ID F-80; посилання «F-80» неоднозначне, тест-кейс не можна однозначно прив'язати.</t>
  </si>
  <si>
    <t xml:space="preserve">Залишити F-80 за вимогою про вхід; вимозі про вихід («Logout») присвоїти вільний ID F-85 (між F-80 і F-90); інші ID не змінюються.</t>
  </si>
  <si>
    <t xml:space="preserve">F-90</t>
  </si>
  <si>
    <t xml:space="preserve">Повнота, п. 4–5: не обумовлено обмеження полів створення номера (обов'язковість номера/назви, допустима ціна) і реакцію на недопустимі значення.</t>
  </si>
  <si>
    <t xml:space="preserve">Додати до F-90: «Номер/назва і ціна за ніч обов'язкові, ціна — додатне число; якщо значення порожнє або недопустиме, номер не створюється, над кнопкою «Create» показується перелік помилок.»</t>
  </si>
  <si>
    <t xml:space="preserve">F-100</t>
  </si>
  <si>
    <t xml:space="preserve">Однозначність, п. 1 і 3: дієслово «обробити повідомлення» не визначає дію (позначити прочитаним, відповісти, видалити); у процесі 4 каталогу — «позначається обробленим або видаляється».</t>
  </si>
  <si>
    <t xml:space="preserve">«…і може обробити повідомлення: відкрити його для читання (після чого воно позначається прочитаним) або видалити зі списку.»</t>
  </si>
  <si>
    <t xml:space="preserve">F-110</t>
  </si>
  <si>
    <t xml:space="preserve">Несуперечливість, п. 2: F-110 встановлює безкоштовне скасування за 5 і більше днів до заїзду, а BL-60 і BL-80 — за 7 і більше. Для скасування за 5–6 днів є два очікувані результати (0 % і 50 %).</t>
  </si>
  <si>
    <t xml:space="preserve">F-110: «…скасування безкоштовне, якщо до дати заїзду залишилось 7 або більше днів, в інших випадках утримується плата за скасування згідно з розділом 5.» (узгоджено з BL-60 і правилом каталогу).</t>
  </si>
  <si>
    <t xml:space="preserve">Повнота, п. 2: у SRS немає вимоги показувати гостю політику скасування до підтвердження бронювання, хоча замовник цього очікує (каталог, 6.4, п. 5: «показується до підтвердження»); без неї не перевірити очікування замовника.</t>
  </si>
  <si>
    <t xml:space="preserve">Нова вимога F-115 (Medium): «До натискання кінцевого «Reserve Now» система показує гостю політику скасування: безкоштовно за 7 і більше днів до заїзду; 50 % вартості за 3–6 днів; 100 % за менше ніж 3 дні.»</t>
  </si>
  <si>
    <t xml:space="preserve">відхилено після обговорення</t>
  </si>
  <si>
    <t xml:space="preserve">F-120</t>
  </si>
  <si>
    <t xml:space="preserve">здійсненність</t>
  </si>
  <si>
    <t xml:space="preserve">Здійсненність (4.6): звіт «на основі фактичних даних про заселення і виселення» неможливо побудувати для майбутніх періодів, які вимога прямо допускає, — вимога нездійсненна за визначенням.</t>
  </si>
  <si>
    <t xml:space="preserve">«Адміністратор формує звіт заповнюваності номерів за будь-який період: для минулих і поточного — за фактичними заселеннями і виселеннями; для майбутніх — за підтвердженими бронюваннями, звіт позначається «прогноз».»</t>
  </si>
  <si>
    <t xml:space="preserve">Однозначність, п. 5: у 1.2 і 2.1 адміністратору доступний «звіт бронювань», а F-120 описує «звіт заповнюваності номерів» — терміни не єдині, не зрозуміло, один це звіт чи два.</t>
  </si>
  <si>
    <t xml:space="preserve">У 1.2 і 2.1 замінити «звіт бронювань» на «звіт заповнюваності номерів» (як у F-120).</t>
  </si>
  <si>
    <t xml:space="preserve">Гатченко Я.</t>
  </si>
  <si>
    <t xml:space="preserve">F-130</t>
  </si>
  <si>
    <t xml:space="preserve">Несуперечливість, п. 2: F-130 завершує сесію через 24 години після входу, а S-20 — через 30 хвилин неактивності. Для адміністратора, який пропрацював 40 хвилин без пауз, вимоги дають різні очікувані результати.</t>
  </si>
  <si>
    <t xml:space="preserve">F-130: «Сесія адміністратора завершується за першою з умов: натискання «Logout»; 30 хвилин без дій (S-20); 24 години від входу. Після завершення сесії для доступу до адмінпанелі потрібен повторний вхід.»</t>
  </si>
  <si>
    <t xml:space="preserve">GUI-20</t>
  </si>
  <si>
    <t xml:space="preserve">Однозначність, п. 2–3: «залежно від налаштувань» не каже, яких саме налаштувань і як вони визначають формат; тест не може встановити очікуваний формат дати.</t>
  </si>
  <si>
    <t xml:space="preserve">«Поля «Check In» і «Check Out» показують дату у форматі, що визначається мовою браузера: дд/мм/рррр для uk, мм/дд/рррр для en-US; у параметрах URL (F-20) формат завжди РРРР-ММ-ДД; натискання на поле відкриває календар.»</t>
  </si>
  <si>
    <t xml:space="preserve">GUI-40</t>
  </si>
  <si>
    <t xml:space="preserve">Несуперечливість, п. 2: F-60 і GUI-80 вимагають заповнення чотирьох полів (Firstname, Lastname, Email, Phone), а GUI-40 перелічує лише три поля з підказками — «Phone» пропущено.</t>
  </si>
  <si>
    <t xml:space="preserve">GUI-40: «…текстові поля з підказками (placeholder) «Firstname», «Lastname», «Email», «Phone» та кнопки «Reserve Now» і «Cancel»…»</t>
  </si>
  <si>
    <t xml:space="preserve">GUI-60</t>
  </si>
  <si>
    <t xml:space="preserve">Тестопридатність (4.7): слова «зрозумілими, доброзичливими і не дратувати гостя» не мають ознаки, яку можна спостерігати; результат «пройдено / не пройдено» невизначений. Також порушує однозначність; головний критерій — тестопридатність, бо виправлення додає вимірювані ознаки.</t>
  </si>
  <si>
    <t xml:space="preserve">«Кожне повідомлення про помилку у формах називає поле і порушене обмеження (наприклад, «Subject: від 5 до 100 символів»), не містить технічних кодів і трасувань, не довше 100 символів; перелік показується над кнопкою надсилання.»</t>
  </si>
  <si>
    <t xml:space="preserve">GUI-70</t>
  </si>
  <si>
    <t xml:space="preserve">Простежуваність, п. 5: недопуск до адмінпанелі при неправильних облікових даних описано і в GUI-70, і в F-80 — вимоги перекриваються.</t>
  </si>
  <si>
    <t xml:space="preserve">У GUI-70 залишити лише зовнішній вигляд (поля позначаються як помилкові); недопуск до адмінпанелі — у F-80, у GUI-70 дати посилання «див. F-80».</t>
  </si>
  <si>
    <t xml:space="preserve">Сирота В.</t>
  </si>
  <si>
    <t xml:space="preserve">GUI-80</t>
  </si>
  <si>
    <t xml:space="preserve">Несуперечливість, п. 1: вимога суперечить сама собі — кнопка «Reserve Now» неактивна, доки не заповнено всі поля, але «при натисканні з порожніми полями» система показує помилки; на неактивну кнопку натиснути не можна.</t>
  </si>
  <si>
    <t xml:space="preserve">GUI-80: «Кнопка «Reserve Now» завжди активна; при натисканні з порожніми або недопустимими полями система показує перелік помилок валідації над кнопкою і не зберігає бронювання.»</t>
  </si>
  <si>
    <t xml:space="preserve">без ID (розд. 4, рядок 9)</t>
  </si>
  <si>
    <t xml:space="preserve">Простежуваність, п. 2: рядок розд. 4 №9 — форма «Send Us a Message» на головній сторінці — не має ідентифікатора; на нього не можна послатись з тест-кейса й матриці простежуваності.</t>
  </si>
  <si>
    <t xml:space="preserve">Присвоїти ID GUI-85 (вільний між GUI-80 і GUI-90); інші ID не змінюються.</t>
  </si>
  <si>
    <t xml:space="preserve">GUI-90</t>
  </si>
  <si>
    <t xml:space="preserve">Здійсненність (4.6): піксельна ідентичність «в усіх браузерах і на всіх пристроях, включно з кнопковими телефонами без браузера» нездійсненна (браузера немає) і суперечить 2.2, де підтримуються лише Chrome і Firefox.</t>
  </si>
  <si>
    <t xml:space="preserve">«Сторінки гостьової частини відображаються без перекриття елементів, функції F-10…F-70 доступні в поточних версіях Chrome і Firefox на ширині вікна від 375 px; піксельна ідентичність не вимагається.»</t>
  </si>
  <si>
    <t xml:space="preserve">BL-10</t>
  </si>
  <si>
    <t xml:space="preserve">Повнота, п. 2 і 4: метод має параметри guests і capacity, але серед перевірок кількість гостей відсутня; не наведено і перелік кодів BookingError, тож не обумовлено допустимі та недопустимі вхідні дані.</t>
  </si>
  <si>
    <t xml:space="preserve">Додати до BL-10: «Також перевіряє, що кількість гостей не менша за 1 і не більша за capacity. Порушення дають коди BookingError: INVALID_DATES (виїзд не пізніший за заїзд), INVALID_NIGHTS (ночей менше 1 або більше 30), PAST_CHECK_IN (заїзд раніший за today), INVALID_GUESTS (гостей менше 1 або більше capacity).» Назви кодів звірити з SN-BL-01.</t>
  </si>
  <si>
    <t xml:space="preserve">Гатченко Я., Сімутін В.</t>
  </si>
  <si>
    <t xml:space="preserve">BL-20</t>
  </si>
  <si>
    <t xml:space="preserve">Однозначність, п. 3–4: формат «локальна_частина@домен.зона» не визначає допустимі символи, довжину і значення null/порожнього рядка; різні розробники реалізують по-різному.</t>
  </si>
  <si>
    <t xml:space="preserve">«isValidEmail приймає рядок «локальна_частина@домен.зона»: локальна частина — латинські літери, цифри та символи . _ % + - ; домен — мітки з латинських літер, цифр і дефіса, розділені крапками; зона — не менше 2 літер; null і порожній рядок — false.»</t>
  </si>
  <si>
    <t xml:space="preserve">BL-30</t>
  </si>
  <si>
    <t xml:space="preserve">Однозначність, п. 1 і 4: «вихідні дні» не визначено — невідомо, це п'ятниця і субота чи субота і неділя; ніч ідентифікується датою початку (1.3), тож «ніч у вихідний день» допускає кілька тлумачень.</t>
  </si>
  <si>
    <t xml:space="preserve">«Ночі напередодні вихідних — ніч, дата початку якої (1.3) п'ятниця або субота, — оплачуються з надбавкою 15 % (метод isWeekendNight).» Додати до 1.3 термін «Вихідна ніч».</t>
  </si>
  <si>
    <t xml:space="preserve">BL-80</t>
  </si>
  <si>
    <t xml:space="preserve">Простежуваність, п. 1 і 5: BL-80 повторює правило BL-60 (безкоштовно за 7 і більше днів, 50 % за 3–6) і неповна — немає рівня «менше 3 днів»; вимоги перекриваються і дають два джерела істини.</t>
  </si>
  <si>
    <t xml:space="preserve">Вилучити BL-80 як дубль BL-60; ID BL-80 не використовується повторно (залишається «дірка»); посилання на BL-80 замінити на BL-60.</t>
  </si>
  <si>
    <t xml:space="preserve">P-10</t>
  </si>
  <si>
    <t xml:space="preserve">Здійсненність (4.6): 50 мс «за будь-якого з'єднання, включно з 2G» не гарантувати — час залежить від мережі, яку продукт не контролює.</t>
  </si>
  <si>
    <t xml:space="preserve">«Сторінка зі списком номерів повністю завантажується не довше ніж за 3 с на з'єднанні 4G (не менше 10 Мбіт/с) у Chrome; час вимірюється до події load.»</t>
  </si>
  <si>
    <t xml:space="preserve">Сирота В., Тіньков Д.</t>
  </si>
  <si>
    <t xml:space="preserve">P-20</t>
  </si>
  <si>
    <t xml:space="preserve">Тестопридатність (4.7): «велике навантаження» і «без деградації» не мають чисел; тест не може дати «пройдено / не пройдено».</t>
  </si>
  <si>
    <t xml:space="preserve">«Під навантаженням 50 одночасних користувачів, що протягом 5 хв відкривають сторінку зі списком номерів, 95-й перцентиль часу відповіді не перевищує 3 с, частка помилок — менше 1 %.»</t>
  </si>
  <si>
    <t xml:space="preserve">S-10</t>
  </si>
  <si>
    <t xml:space="preserve">Здійсненність (4.6): гарантія «100 % захист від будь-яких кібератак, включно з невідомими» неможлива за визначенням.</t>
  </si>
  <si>
    <t xml:space="preserve">«Адмінпанель недоступна без автентифікації за прямим URL; дані, введені у форми, екрануються і не виконуються як HTML/JS; облікові дані не передаються в URL.»</t>
  </si>
  <si>
    <t xml:space="preserve">U-10</t>
  </si>
  <si>
    <t xml:space="preserve">Тестопридатність (4.7): слово-маркер «інтуїтивно зрозумілий» не має критерію спостереження.</t>
  </si>
  <si>
    <t xml:space="preserve">«Новий користувач без інструкції доходить від головної сторінки до підтвердженого бронювання не довше ніж за 3 хв і з не більше ніж однією помилкою; перевірка на 5 учасниках, критерій — 4 з 5.»</t>
  </si>
  <si>
    <t xml:space="preserve">U-20</t>
  </si>
  <si>
    <t xml:space="preserve">Повнота, п. 3: вимога посилається на GUI-120, якого немає в SRS (останній ID розділу — GUI-90): посилання на неіснуючий пункт.</t>
  </si>
  <si>
    <t xml:space="preserve">«Усі форми гостьової частини оформлюються за єдиною схемою: поля з підказками (GUI-40, GUI-85) і перелік помилок над кнопкою надсилання (GUI-80, F-70).»</t>
  </si>
  <si>
    <t xml:space="preserve">D-20</t>
  </si>
  <si>
    <t xml:space="preserve">Повнота, п. 2–3: посилання на корпоративний стандарт SN-DOC-07 «Стандарт документації», якого немає серед документів (1.4); зміст «довідки адміністратора» ніде не описано.</t>
  </si>
  <si>
    <t xml:space="preserve">«Довідка адміністратора оформлюється файлом admin-help.md з описом входу, номерів, повідомлень і звіту (F-80…F-120).» Посилання на SN-DOC-07 вилучити.</t>
  </si>
  <si>
    <t xml:space="preserve">Розподіл розділів SRS 1.0 між перевіряючими (кожен розділ — двоє незалежно)</t>
  </si>
  <si>
    <t xml:space="preserve">Розділ SRS</t>
  </si>
  <si>
    <t xml:space="preserve">Зміст</t>
  </si>
  <si>
    <t xml:space="preserve">Одиниць для перевірки</t>
  </si>
  <si>
    <t xml:space="preserve">Перевіряючий 1</t>
  </si>
  <si>
    <t xml:space="preserve">Перевіряючий 2</t>
  </si>
  <si>
    <t xml:space="preserve">Строк незалежної перевірки</t>
  </si>
  <si>
    <t xml:space="preserve">1–2</t>
  </si>
  <si>
    <t xml:space="preserve">Вступ, терміни (1.3), посилання (1.4), ролі (2.1), середовище, обмеження (2.2–2.3)</t>
  </si>
  <si>
    <t xml:space="preserve">8 термінів, 4 посилання, 3 ролі, 2.2–2.3</t>
  </si>
  <si>
    <t xml:space="preserve">Гатченко Ярослав</t>
  </si>
  <si>
    <t xml:space="preserve">Кмець Марк</t>
  </si>
  <si>
    <t xml:space="preserve">дні 1–4 спринта</t>
  </si>
  <si>
    <t xml:space="preserve">готово</t>
  </si>
  <si>
    <t xml:space="preserve">3</t>
  </si>
  <si>
    <t xml:space="preserve">Функціональні вимоги F-10…F-130</t>
  </si>
  <si>
    <t xml:space="preserve">14 рядків</t>
  </si>
  <si>
    <t xml:space="preserve">Сімутін Владислав</t>
  </si>
  <si>
    <t xml:space="preserve">Тіньков Данііл</t>
  </si>
  <si>
    <t xml:space="preserve">4</t>
  </si>
  <si>
    <t xml:space="preserve">Вимоги до інтерфейсу GUI-10…GUI-90</t>
  </si>
  <si>
    <t xml:space="preserve">10 рядків (один без ID)</t>
  </si>
  <si>
    <t xml:space="preserve">Сирота Володимир</t>
  </si>
  <si>
    <t xml:space="preserve">5</t>
  </si>
  <si>
    <t xml:space="preserve">Бізнес-логіка модуля BL-10…BL-80</t>
  </si>
  <si>
    <t xml:space="preserve">8 рядків</t>
  </si>
  <si>
    <t xml:space="preserve">6</t>
  </si>
  <si>
    <t xml:space="preserve">Нефункціональні P-, S-, U-, D-</t>
  </si>
  <si>
    <t xml:space="preserve">Перевірка покриття: кожен розділ має двох незалежних перевіряючих; кожна людина — два розділи. Обговорювати знахідки до дня зведення (день 5) заборонено.</t>
  </si>
  <si>
    <t xml:space="preserve">Спірні рядки реєстру: аргументи Аудитора-опонента («адвоката замовника») і рішення</t>
  </si>
  <si>
    <t xml:space="preserve">Рішення ухвалено на обговоренні. Відхилені рядки з реєстру не видаляються.</t>
  </si>
  <si>
    <t xml:space="preserve">№ рядка реєстру</t>
  </si>
  <si>
    <t xml:space="preserve">Критерій</t>
  </si>
  <si>
    <t xml:space="preserve">Аргумент Аудитора-опонента (проти дефекту)</t>
  </si>
  <si>
    <t xml:space="preserve">Відповідь автора знахідки (за дефект)</t>
  </si>
  <si>
    <t xml:space="preserve">Рішення (прийнято / відхилено після обговорення)</t>
  </si>
  <si>
    <t xml:space="preserve">Обґрунтування рішення</t>
  </si>
  <si>
    <t xml:space="preserve">F-20 описує те, що гість бачить на картці; типи й зручності можуть бути підмножиною повного переліку.</t>
  </si>
  <si>
    <t xml:space="preserve">F-90 дозволяє створити Twin/Family і зручності Refreshments/Views та вимагає, щоб номер з'явився в «Our Rooms»; без узгодження F-20 його не можна показати за вимогою.</t>
  </si>
  <si>
    <t xml:space="preserve">Аудитор-опонент згодився: F-90 дозволяє створити тип Twin, Family й вимагає, щоб він з'явився у «Our Rooms»; без узгодження з F-20 неможливо однозначно показати такий номер. Чек-лист несуперечливості п. 2 порушено. Виправлення: «…для кожного номера показуються тип (Single, Twin, Double, Family, Suite), зручності (WiFi, TV, Radio, Refreshments, Safe, Views)…»</t>
  </si>
  <si>
    <t xml:space="preserve">Недопустимі дати відсікає компонент календаря, це питання GUI-20, а не F-30.</t>
  </si>
  <si>
    <t xml:space="preserve">Календар не гарантує коректності: можливе пряме введення в поле і параметри URL checkin/checkout (каталог, 6.8); реакція не описана.</t>
  </si>
  <si>
    <t xml:space="preserve">Аудитор-опонент визнав: пряме введення в поле й параметри URL checkin/checkout можливі (див. F-20, каталог 6.8); календар не гарантує коректності. Чек-лист повноти п. 4–5 вимагає обумовити недопустимі вхідні дані й реакцію. Додаємо: «Якщо одну з дат не обрано, дата виїзду не пізніша за заїзд або заїзд у минулому — система не оновлює перелік і показує помилку (GUI-60)»</t>
  </si>
  <si>
    <t xml:space="preserve">Обмеження полів — деталь реалізації demo, а не вимога замовника.</t>
  </si>
  <si>
    <t xml:space="preserve">Чек-лист повноти, п. 4–5, вимагає обумовити недопустимі вхідні дані і реакцію; без цього тест-кейс для «Create» не має очікуваного результату.</t>
  </si>
  <si>
    <t xml:space="preserve">Аудитор-опонент згодився: чек-лист повноти п. 4–5 вимагає обумовити недопустимі вхідні дані й реакцію; без цього тест-кейс для «Create» не має однозначного очікуваного результату. Додаємо: «Номер/назва (обов'язкове) і ціна (додатне число); якщо порожнє або недопустиме — номер не створюється, над кнопкою „Create“ — перелік помилок»</t>
  </si>
  <si>
    <t xml:space="preserve">Це нова функція, а не дефект наявної вимоги: у SRS 1.0 її не було.</t>
  </si>
  <si>
    <t xml:space="preserve">Очікування замовника №5 (каталог, 6.4) — політика «показується до підтвердження»; повнота, п. 2: усі необхідні вимоги мають бути в SRS.</t>
  </si>
  <si>
    <t xml:space="preserve">Аудитор-опонент аргументував, що у SRS 1.0 цієї вимоги не було; команда не може додавати нову вимогу (F-115) лише через аудит — це розширення обсягу. Очікування замовника №5 з каталогу (6.4) належить віднести до замовлення нової функції (Спринт 1, беклог), а не до аудиту SRS 1.0. Якщо замовник на Demo підтвердить потребу — у SRS 1.2 окремим записом журналу змін</t>
  </si>
  <si>
    <t xml:space="preserve">«Звіт бронювань» і «звіт заповнюваності» можуть бути двома різними звітами.</t>
  </si>
  <si>
    <t xml:space="preserve">Окремої вимоги до «звіту бронювань» немає; термін не визначений і не єдиний (однозначність, п. 5).</t>
  </si>
  <si>
    <t xml:space="preserve">Аудитор-опонент згодився: окремої вимоги до «звіту бронювань» немає, термін не визначений і не єдиний. Чек-лист однозначності п. 5: специфічна термінологія має бути єдиною. У 1.2 і 2.1 замінено «звіт бронювань» на «звіт заповнюваності номерів» (як у F-120)</t>
  </si>
  <si>
    <t xml:space="preserve">GUI-70 описує зовнішній вигляд, F-80 — функцію: це різні аспекти, а не дублювання.</t>
  </si>
  <si>
    <t xml:space="preserve">Речення про недопуск до адмінпанелі є в обох вимогах — вимоги перекриваються (простежуваність, п. 5).</t>
  </si>
  <si>
    <t xml:space="preserve">Аудитор-опонент аргументував: GUI-70 описує зовнішній вигляд сторінки входу (поля, підписи, позначки помилок), F-80 — функцію недопуску. Це різні аспекти однієї поведінки, а не дублювання вимог. Чек-лист простежуваності п. 1 вимагає унікальності, але різні аспекти одного процесу не є дублюванням. GUI-70 лишається як опис UI входу</t>
  </si>
  <si>
    <t xml:space="preserve">Формату з BL-20 достатньо для юніт-тестів: тестується типовий і помилковий email.</t>
  </si>
  <si>
    <t xml:space="preserve">Граничні випадки (null, допустимі символи, довжина) відкриті; різні розробники реалізують по-різному (однозначність, п. 3–4).</t>
  </si>
  <si>
    <t xml:space="preserve">Аудитор-опонент аргументував: для юніт-тестів модуля v1 формату «локальна_частина@домен.зона» достатньо — тестується типовий і помилковий email. Граничні випадки (null, допустимі символи, довжина) реалізуються у v2 з повним RFC; для аудиту SRS 1.0 формалізм достатній. Якщо замовник на Demo підтвердить потребу у суворіший специфікації — у SRS 1.2</t>
  </si>
  <si>
    <t xml:space="preserve">Підсумок за нормативами (команда з 5 осіб)</t>
  </si>
  <si>
    <t xml:space="preserve">Прийнято (за Реєстром)</t>
  </si>
  <si>
    <t xml:space="preserve">Норматив</t>
  </si>
  <si>
    <t xml:space="preserve">Виконано</t>
  </si>
  <si>
    <t xml:space="preserve">Усього прийнятих дефектів</t>
  </si>
  <si>
    <t xml:space="preserve">Усього рядків у реєстрі</t>
  </si>
  <si>
    <t xml:space="preserve">Рядків без автора (мають бути 0 перед здачею)</t>
  </si>
  <si>
    <t xml:space="preserve">Позначка рецензента</t>
  </si>
  <si>
    <t xml:space="preserve">Кмець Марк Ігорович (Аудитор-опонент)</t>
  </si>
  <si>
    <t xml:space="preserve">11.10.2026</t>
  </si>
  <si>
    <t xml:space="preserve">Вердикт рецензента</t>
  </si>
  <si>
    <t xml:space="preserve">Затверджено — реєстр відповідає DoD Спринту 2</t>
  </si>
  <si>
    <t xml:space="preserve">Індивідуальний аркуш аудиту SRS 1.0 — Гатченко Ярослав Романович</t>
  </si>
  <si>
    <t xml:space="preserve">Роль у спринті: Керівник тестування (КТ)</t>
  </si>
  <si>
    <t xml:space="preserve">Призначені розділи: розд. 1–2 (вступ, терміни 1.3, посилання 1.4, ролі 2.1, середовище й обмеження 2.2–2.3) та розд. 5 (бізнес-логіка модуля BL-10…BL-80)</t>
  </si>
  <si>
    <t xml:space="preserve">Незалежна перевірка за шістьма чек-листами; обговорення знахідок заборонено до зведення (день 5).</t>
  </si>
  <si>
    <t xml:space="preserve">ID вимоги / підрозділ</t>
  </si>
  <si>
    <t xml:space="preserve">Дефект знайдено</t>
  </si>
  <si>
    <t xml:space="preserve">Короткий опис (пункт чек-листа й цитата)</t>
  </si>
  <si>
    <t xml:space="preserve">Дата</t>
  </si>
  <si>
    <t xml:space="preserve">1-2</t>
  </si>
  <si>
    <t xml:space="preserve">1.1 Призначення</t>
  </si>
  <si>
    <t xml:space="preserve">ні</t>
  </si>
  <si>
    <t xml:space="preserve">—</t>
  </si>
  <si>
    <t xml:space="preserve">1.2 Обсяг</t>
  </si>
  <si>
    <t xml:space="preserve">Термін «звіт бронювань» у 1.2 не збігається з «звітом заповнюваності» у F-120 (п. 5)</t>
  </si>
  <si>
    <t xml:space="preserve">Замінити на «звіт заповнюваності номерів»</t>
  </si>
  <si>
    <t xml:space="preserve">1.3 Терміни: Вихідна ніч</t>
  </si>
  <si>
    <t xml:space="preserve">так (пов’язано з BL-30)</t>
  </si>
  <si>
    <t xml:space="preserve">Термін «вихідна ніч» відсутній; у BL-30 «вихідні дні» не визначено</t>
  </si>
  <si>
    <t xml:space="preserve">Додати термін «Вихідна ніч» до 1.3 (ніч, дата початку якої — п’ятниця або субота)</t>
  </si>
  <si>
    <t xml:space="preserve">1.4 Посилання</t>
  </si>
  <si>
    <t xml:space="preserve">2.1 Ролі: Адміністратор</t>
  </si>
  <si>
    <t xml:space="preserve">Термін «звіт бронювань» у 2.1 не збігається з «звітом заповнюваності» у F-120</t>
  </si>
  <si>
    <t xml:space="preserve">2.1 Ролі: Менеджер</t>
  </si>
  <si>
    <t xml:space="preserve">2.2 Середовище</t>
  </si>
  <si>
    <t xml:space="preserve">2.3 Обмеження і припущення</t>
  </si>
  <si>
    <t xml:space="preserve">Метод має параметри guests і capacity, але перевірки guests немає; перелік кодів BookingError відсутній</t>
  </si>
  <si>
    <t xml:space="preserve">Додати перевірку guests у 1…capacity і перелік кодів BookingError</t>
  </si>
  <si>
    <t xml:space="preserve">Формат «локальна_частина@домен.зона» не визначає допустимі символи, довжину, null/порожнє</t>
  </si>
  <si>
    <t xml:space="preserve">Додати: локальна частина — латиниця, цифри, . _ % + -; null/порожнє → false</t>
  </si>
  <si>
    <t xml:space="preserve">«вихідні дні» не визначено — невідомо, п’ятниця+субота чи субота+неділя</t>
  </si>
  <si>
    <t xml:space="preserve">«Ніч, дата початку якої — п’ятниця або субота» + термін у 1.3</t>
  </si>
  <si>
    <t xml:space="preserve">BL-40</t>
  </si>
  <si>
    <t xml:space="preserve">BL-50</t>
  </si>
  <si>
    <t xml:space="preserve">BL-60</t>
  </si>
  <si>
    <t xml:space="preserve">BL-70</t>
  </si>
  <si>
    <t xml:space="preserve">BL-80 дублює BL-60 і неповне (немає рівня «менше 3 днів»)</t>
  </si>
  <si>
    <t xml:space="preserve">Вилучити BL-80; ID не використовується повторно; посилання → BL-60</t>
  </si>
  <si>
    <t xml:space="preserve">Індивідуальний аркуш аудиту SRS 1.0 — Сирота Володимир Олександрович</t>
  </si>
  <si>
    <t xml:space="preserve">Роль у спринті: Тест-аналітик (ТА)</t>
  </si>
  <si>
    <t xml:space="preserve">Призначені розділи: розд. 4 (вимоги до інтерфейсу GUI-10…GUI-90) та розд. 6 (нефункціональні P-, S-, U-, D-)</t>
  </si>
  <si>
    <t xml:space="preserve">GUI-10</t>
  </si>
  <si>
    <t xml:space="preserve">«залежно від налаштувань» не визначає, яких саме</t>
  </si>
  <si>
    <t xml:space="preserve">Формат за мовою браузера: uk — дд/мм/рррр, en-US — мм/дд/рррр; у URL — РРРР-ММ-ДД</t>
  </si>
  <si>
    <t xml:space="preserve">GUI-30</t>
  </si>
  <si>
    <t xml:space="preserve">F-60 і GUI-80 вимагають 4 поля (Firstname, Lastname, Email, Phone), а GUI-40 перелічує лише 3 — «Phone» пропущено</t>
  </si>
  <si>
    <t xml:space="preserve">Додати «Phone» до переліку полів з підказками</t>
  </si>
  <si>
    <t xml:space="preserve">GUI-50 вимагає «Service fee» £10, а F-50 — £15</t>
  </si>
  <si>
    <t xml:space="preserve">Замінити на £15 (узгоджено з формулою Total у F-50)</t>
  </si>
  <si>
    <t xml:space="preserve">Слова «зрозумілими, доброзичливими і не дратувати гостя» не мають вимірюваної ознаки</t>
  </si>
  <si>
    <t xml:space="preserve">«Називає поле й обмеження, без технічних кодів, ≤100 символів, над кнопкою»</t>
  </si>
  <si>
    <t xml:space="preserve">Недопуск до адмінпанелі при неправильних облікових даних описано й у GUI-70, і у F-80 — вимоги перекриваються</t>
  </si>
  <si>
    <t xml:space="preserve">У GUI-70 залишити лише зовнішній вигляд; недопуск — у F-80</t>
  </si>
  <si>
    <t xml:space="preserve">Вимога суперечить сама собі: кнопка неактивна, але «при натисканні з порожніми» — помилки; на неактивну кнопку натиснути не можна</t>
  </si>
  <si>
    <t xml:space="preserve">Кнопка завжди активна; при порожніх/недопустимих полях — перелік помилок над кнопкою</t>
  </si>
  <si>
    <t xml:space="preserve">Без ID (розд. 4, рядок 9)</t>
  </si>
  <si>
    <t xml:space="preserve">Рядок розд. 4 №9 — форма «Send Us a Message» — не має ідентифікатора</t>
  </si>
  <si>
    <t xml:space="preserve">Присвоїти ID GUI-85 (вільний між GUI-80 і GUI-90)</t>
  </si>
  <si>
    <t xml:space="preserve">Піксельна ідентичність «в усіх браузерах і на всіх пристроях, включно з кнопковими телефонами без браузера» нездійсненна і суперечить 2.2</t>
  </si>
  <si>
    <t xml:space="preserve">«Без перекриття елементів у Chrome і Firefox, ширина від 375 px; піксельна ідентичність не вимагається»</t>
  </si>
  <si>
    <t xml:space="preserve">50 мс «за будь-якого з'єднання, включно з 2G» нереально — час залежить від мережі</t>
  </si>
  <si>
    <t xml:space="preserve">«3 с на з'єднанні 4G (≥10 Мбіт/с) у Chrome; до події load»</t>
  </si>
  <si>
    <t xml:space="preserve">«Велике навантаження» і «без деградації» — без чисел</t>
  </si>
  <si>
    <t xml:space="preserve">«50 одночасних користувачів, 5 хв: p95 ≤ 3 с, помилок &lt; 1 %»</t>
  </si>
  <si>
    <t xml:space="preserve">Гарантія «100 % захист від будь-яких кібератак, включно з невідомими» неможлива за визначенням</t>
  </si>
  <si>
    <t xml:space="preserve">Перелік перевірюваних вимог: доступ без автентифікації, екранування, облікові дані не в URL</t>
  </si>
  <si>
    <t xml:space="preserve">S-20</t>
  </si>
  <si>
    <t xml:space="preserve">Слово-маркер «інтуїтивно зрозумілий» не має критерію спостереження</t>
  </si>
  <si>
    <t xml:space="preserve">«3 хв, ≤1 помилка; 5 учасників, критерій 4 з 5»</t>
  </si>
  <si>
    <t xml:space="preserve">Вимога посилається на GUI-120, якого немає в SRS (останній — GUI-90)</t>
  </si>
  <si>
    <t xml:space="preserve">Замінити на «GUI-40, GUI-85, GUI-80, F-70»</t>
  </si>
  <si>
    <t xml:space="preserve">D-10</t>
  </si>
  <si>
    <t xml:space="preserve">Посилання на неіснуючий стандарт SN-DOC-07; зміст «довідки адміністратора» не описано</t>
  </si>
  <si>
    <t xml:space="preserve">Файл admin-help.md з описом F-80…F-120; SN-DOC-07 вилучити</t>
  </si>
  <si>
    <t xml:space="preserve">Індивідуальний аркуш аудиту SRS 1.0 — Сімутін Владислав Євгенович</t>
  </si>
  <si>
    <t xml:space="preserve">Роль у спринті: Інженер з тестування (ІТ)</t>
  </si>
  <si>
    <t xml:space="preserve">Призначені розділи: розд. 3 (функціональні F-10…F-130) та розд. 5 (бізнес-логіка BL-10…BL-80)</t>
  </si>
  <si>
    <t xml:space="preserve">Поведінку «Amenities», «Location», «Book Now» не описано</t>
  </si>
  <si>
    <t xml:space="preserve">Додати: Amenities/Location/Contact прокручують; Book Now → віджет; Admin → /admin</t>
  </si>
  <si>
    <t xml:space="preserve">Не обумовлено реакцію на недопустимі дати (не обрано, виїзд ≤ заїзд, заїзд у минулому)</t>
  </si>
  <si>
    <t xml:space="preserve">Додати: «Якщо дані некоректні — не оновлює перелік, показує помилку (GUI-60)»</t>
  </si>
  <si>
    <t xml:space="preserve">«Швидко», «без помилок за будь-яких умов» — без чисел</t>
  </si>
  <si>
    <t xml:space="preserve">«Не довше ніж за 3 с; не містить зайнятого номера хоча б на одну ніч інтервалу [заїзд, виїзд)»</t>
  </si>
  <si>
    <t xml:space="preserve">F-50</t>
  </si>
  <si>
    <t xml:space="preserve">«Надсилає гостю підтвердження» — неоднозначно: канал? зміст? момент?</t>
  </si>
  <si>
    <t xml:space="preserve">«Показує на сторінці підтвердження з датами бронювання (заголовок „Booking Confirmed“ з номером, датами заїзду/виїзду); лист — у цільовій версії»</t>
  </si>
  <si>
    <t xml:space="preserve">F-70</t>
  </si>
  <si>
    <t xml:space="preserve">F-80 (вхід)</t>
  </si>
  <si>
    <t xml:space="preserve">Дубль ID F-80: входом і завершенням сеансу «Logout»</t>
  </si>
  <si>
    <t xml:space="preserve">Залишити F-80 за входом; Logout → вільний ID F-85</t>
  </si>
  <si>
    <t xml:space="preserve">F-80 (Logout)</t>
  </si>
  <si>
    <t xml:space="preserve">Та сама вимога, дубль ID</t>
  </si>
  <si>
    <t xml:space="preserve">Перейменувати в F-85 (вільний між F-80 і F-90)</t>
  </si>
  <si>
    <t xml:space="preserve">Не обумовлено обмеження полів створення номера (обов'язковість, додатна ціна) і реакцію на недопустимі значення</t>
  </si>
  <si>
    <t xml:space="preserve">Додати: «Номер/назва (обов'язкове), ціна (додатне число); якщо порожнє/недопустиме — номер не створюється, над кнопкою Create — перелік помилок»</t>
  </si>
  <si>
    <t xml:space="preserve">«Обробити повідомлення» — неоднозначне (позначити прочитаним? відповісти? видалити?)</t>
  </si>
  <si>
    <t xml:space="preserve">«Відкрити (позначається прочитаним) або видалити зі списку»</t>
  </si>
  <si>
    <t xml:space="preserve">Безкоштовне скасування за «5 або більше днів» суперечить BL-60 (7 або більше днів)</t>
  </si>
  <si>
    <t xml:space="preserve">Узгодити з BL-60: «7 або більше днів»</t>
  </si>
  <si>
    <t xml:space="preserve">F-110 (нова F-115)</t>
  </si>
  <si>
    <t xml:space="preserve">У SRS немає вимоги показувати політику скасування до підтвердження бронювання, хоча замовник цього очікує (каталог 6.4, п. 5)</t>
  </si>
  <si>
    <t xml:space="preserve">Нова вимога F-115: «До натискання Reserve Now система показує політику скасування: безкоштовно за 7+ днів; 50 % за 3–6 днів; 100 % за &lt;3 днів»</t>
  </si>
  <si>
    <t xml:space="preserve">Звіт «на основі фактичних даних про заселення й виселення» неможливо побудувати для майбутніх періодів</t>
  </si>
  <si>
    <t xml:space="preserve">Минулі й поточний — за фактичними; майбутні — за підтвердженими бронюваннями, позначка «прогноз»</t>
  </si>
  <si>
    <t xml:space="preserve">F-130 завершує сесію через 24 год, S-20 — через 30 хв неактивності; для адміністратора, що пропрацював 40 хв без пауз, вимоги дають різні очікувані результати</t>
  </si>
  <si>
    <t xml:space="preserve">«Сесія завершується за першою з умов: Logout, 30 хв без дій (S-20), 24 год від входу»</t>
  </si>
  <si>
    <t xml:space="preserve">Перевірка guests відсутня; перелік кодів BookingError відсутній</t>
  </si>
  <si>
    <t xml:space="preserve">Формату з BL-20 достатньо для юніт-тестів — тестується типовий і помилковий email</t>
  </si>
  <si>
    <t xml:space="preserve">«Вихідні дні» не визначено</t>
  </si>
  <si>
    <t xml:space="preserve">Дублює BL-60, неповне (немає рівня «менше 3 днів»)</t>
  </si>
  <si>
    <t xml:space="preserve">Вилучити BL-80; посилання → BL-60</t>
  </si>
  <si>
    <t xml:space="preserve">Індивідуальний аркуш аудиту SRS 1.0 — Тіньков Данііл Денисович</t>
  </si>
  <si>
    <t xml:space="preserve">Роль у спринті: Скрам-майстер / рецензент (СМ)</t>
  </si>
  <si>
    <t xml:space="preserve">Призначені розділи: розд. 3 (функціональні F-10…F-130) та розд. 6 (нефункціональні P-, S-, U-, D-)</t>
  </si>
  <si>
    <t xml:space="preserve">Додати опис поведінки усіх пунктів меню й кнопки</t>
  </si>
  <si>
    <t xml:space="preserve">F-20 називає типи Single, Double, Suite і зручності TV, WiFi, Safe, Radio, а F-90 дозволяє створити ще Twin, Family і Refreshments, Views — у «Our Rooms» такий номер показати неможливо</t>
  </si>
  <si>
    <t xml:space="preserve">Розширити F-20: «…тип (Single, Twin, Double, Family, Suite), зручності (WiFi, TV, Radio, Refreshments, Safe, Views)…»</t>
  </si>
  <si>
    <t xml:space="preserve">Недопустимі дати відсікає календар — це питання GUI-20, а не F-30</t>
  </si>
  <si>
    <t xml:space="preserve">«Швидко» — без числа</t>
  </si>
  <si>
    <t xml:space="preserve">«Не довше ніж за 3 с»</t>
  </si>
  <si>
    <t xml:space="preserve">«Надсилає підтвердження» — неоднозначно</t>
  </si>
  <si>
    <t xml:space="preserve">«Показує на сторінці підтвердження з датами»</t>
  </si>
  <si>
    <t xml:space="preserve">Дубль ID F-80</t>
  </si>
  <si>
    <t xml:space="preserve">Залишити F-80 за входом; Logout → F-85</t>
  </si>
  <si>
    <t xml:space="preserve">Та сама вимога, дубль</t>
  </si>
  <si>
    <t xml:space="preserve">Перейменувати в F-85</t>
  </si>
  <si>
    <t xml:space="preserve">Обмеження полів — деталь реалізації demo, а не вимога замовника</t>
  </si>
  <si>
    <t xml:space="preserve">«Обробити» — неоднозначно</t>
  </si>
  <si>
    <t xml:space="preserve">«Відкрити (прочитаним) або видалити»</t>
  </si>
  <si>
    <t xml:space="preserve">5 vs 7 днів (BL-60)</t>
  </si>
  <si>
    <t xml:space="preserve">Узгодити: 7 днів</t>
  </si>
  <si>
    <t xml:space="preserve">«Фактичні дані» для майбутніх нездійсненні</t>
  </si>
  <si>
    <t xml:space="preserve">Майбутні — за підтвердженими бронюваннями, позначка «прогноз»</t>
  </si>
  <si>
    <t xml:space="preserve">24 год (F-130) vs 30 хв (S-20)</t>
  </si>
  <si>
    <t xml:space="preserve">«За першою з умов»</t>
  </si>
  <si>
    <t xml:space="preserve">50 мс за 2G — нездійсненно</t>
  </si>
  <si>
    <t xml:space="preserve">3 с на 4G у Chrome</t>
  </si>
  <si>
    <t xml:space="preserve">«Велике навантаження» — без числа</t>
  </si>
  <si>
    <t xml:space="preserve">50 користувачів, p95 ≤ 3 с, помилок &lt; 1 %</t>
  </si>
  <si>
    <t xml:space="preserve">100 % захист нездійсненний</t>
  </si>
  <si>
    <t xml:space="preserve">Перелік перевірюваних вимог</t>
  </si>
  <si>
    <t xml:space="preserve">«Інтуїтивно» — без критерію</t>
  </si>
  <si>
    <t xml:space="preserve">3 хв, 1 помилка, 4 з 5</t>
  </si>
  <si>
    <t xml:space="preserve">Посилання на неіснуючий GUI-120</t>
  </si>
  <si>
    <t xml:space="preserve">Замінити на GUI-40, GUI-85</t>
  </si>
  <si>
    <t xml:space="preserve">SN-DOC-07 неіснуючий; зміст довідки не описано</t>
  </si>
  <si>
    <t xml:space="preserve">admin-help.md з описом F-80…F-120</t>
  </si>
  <si>
    <t xml:space="preserve">Індивідуальний аркуш аудиту SRS 1.0 — Кмець Марк Ігорович</t>
  </si>
  <si>
    <t xml:space="preserve">Роль у спринті: Аудитор-опонент (АО)</t>
  </si>
  <si>
    <t xml:space="preserve">Призначені розділи: розд. 1–2 (вступ, терміни 1.3, посилання 1.4, ролі 2.1, середовище й обмеження 2.2–2.3) та розд. 4 (вимоги до інтерфейсу GUI-10…GUI-90)</t>
  </si>
  <si>
    <t xml:space="preserve">Термін «вихідна ніч» відсутній, але безпосередньо в 1.3 це не дефект — він пов'язаний із BL-30 (розд. 5)</t>
  </si>
  <si>
    <t xml:space="preserve">«Залежно від налаштувань» не визначає, яких саме й як</t>
  </si>
  <si>
    <t xml:space="preserve">Формат за мовою браузера: uk — дд/мм/рррр, en-US — мм/дд/рррр</t>
  </si>
  <si>
    <t xml:space="preserve">Перелічує 3 поля, а F-60/GUI-80 вимагають 4 — «Phone» пропущено</t>
  </si>
  <si>
    <t xml:space="preserve">Додати «Phone»</t>
  </si>
  <si>
    <t xml:space="preserve">£10 у GUI-50 vs £15 у F-50</t>
  </si>
  <si>
    <t xml:space="preserve">£15 (узгоджено з F-50)</t>
  </si>
  <si>
    <t xml:space="preserve">«Зрозумілими, доброзичливими» — без ознаки</t>
  </si>
  <si>
    <t xml:space="preserve">«Називає поле й обмеження, ≤100 символів, над кнопкою»</t>
  </si>
  <si>
    <t xml:space="preserve">GUI-70 описує зовнішній вигляд сторінки входу, F-80 — функцію недопуску; це різні аспекти, а не дублювання</t>
  </si>
  <si>
    <t xml:space="preserve">Вимога суперечить сама собі (неактивна кнопка + помилки при натисканні)</t>
  </si>
  <si>
    <t xml:space="preserve">Кнопка завжди активна; помилки над кнопкою</t>
  </si>
  <si>
    <t xml:space="preserve">Форма «Send Us a Message» без ID</t>
  </si>
  <si>
    <t xml:space="preserve">Присвоїти GUI-85</t>
  </si>
  <si>
    <t xml:space="preserve">Піксельна ідентичність «в усіх браузерах і на всіх пристроях» нездійсненна</t>
  </si>
  <si>
    <t xml:space="preserve">«Без перекриття в Chrome й Firefox, ширина від 375 px»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</si>
</sst>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name val="DejaVu Sans"/>
      <family val="0"/>
      <charset val="1"/>
    </font>
    <font>
      <b val="true"/>
      <sz val="11"/>
      <name val="Calibri"/>
      <family val="0"/>
      <charset val="1"/>
    </font>
    <font>
      <b val="true"/>
      <sz val="12"/>
      <name val="DejaVu Sans"/>
      <family val="0"/>
      <charset val="1"/>
    </font>
    <font>
      <i val="true"/>
      <sz val="9"/>
      <color rgb="FF5A5A55"/>
      <name val="DejaVu Sans"/>
      <family val="0"/>
      <charset val="1"/>
    </font>
    <font>
      <b val="true"/>
      <sz val="10"/>
      <color rgb="FFFFFFFF"/>
      <name val="DejaVu Sans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2CC"/>
        <bgColor rgb="FFFFF9E3"/>
      </patternFill>
    </fill>
    <fill>
      <patternFill patternType="solid">
        <fgColor rgb="FFE2EFDA"/>
        <bgColor rgb="FFEAF5EE"/>
      </patternFill>
    </fill>
    <fill>
      <patternFill patternType="solid">
        <fgColor rgb="FFEAF5EE"/>
        <bgColor rgb="FFF5F5F5"/>
      </patternFill>
    </fill>
    <fill>
      <patternFill patternType="solid">
        <fgColor rgb="FFFBE9E7"/>
        <bgColor rgb="FFF5F5F5"/>
      </patternFill>
    </fill>
    <fill>
      <patternFill patternType="solid">
        <fgColor rgb="FF3D556B"/>
        <bgColor rgb="FF5A5A55"/>
      </patternFill>
    </fill>
    <fill>
      <patternFill patternType="solid">
        <fgColor rgb="FFF5F5F5"/>
        <bgColor rgb="FFEAF5EE"/>
      </patternFill>
    </fill>
    <fill>
      <patternFill patternType="solid">
        <fgColor rgb="FFFFF9E3"/>
        <bgColor rgb="FFF5F5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8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6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9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6" fillId="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AF5EE"/>
          <bgColor rgb="FF000000"/>
        </patternFill>
      </fill>
    </dxf>
    <dxf>
      <fill>
        <patternFill patternType="solid">
          <fgColor rgb="FFFBE9E7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9E3"/>
      <rgbColor rgb="FFEAF5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E2EFDA"/>
      <rgbColor rgb="FFFFF2CC"/>
      <rgbColor rgb="FF99CCFF"/>
      <rgbColor rgb="FFFF99CC"/>
      <rgbColor rgb="FFCC99FF"/>
      <rgbColor rgb="FFFBE9E7"/>
      <rgbColor rgb="FF3366FF"/>
      <rgbColor rgb="FF33CCCC"/>
      <rgbColor rgb="FF99CC00"/>
      <rgbColor rgb="FFFFCC00"/>
      <rgbColor rgb="FFFF9900"/>
      <rgbColor rgb="FFFF6600"/>
      <rgbColor rgb="FF5A5A55"/>
      <rgbColor rgb="FF969696"/>
      <rgbColor rgb="FF1F3A5F"/>
      <rgbColor rgb="FF339966"/>
      <rgbColor rgb="FF003300"/>
      <rgbColor rgb="FF333300"/>
      <rgbColor rgb="FF993300"/>
      <rgbColor rgb="FF993366"/>
      <rgbColor rgb="FF3D556B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6"/>
    <col collapsed="false" customWidth="true" hidden="false" outlineLevel="0" max="3" min="3" style="1" width="17"/>
    <col collapsed="false" customWidth="true" hidden="false" outlineLevel="0" max="5" min="4" style="1" width="60"/>
    <col collapsed="false" customWidth="true" hidden="false" outlineLevel="0" max="7" min="6" style="1" width="22"/>
    <col collapsed="false" customWidth="true" hidden="false" outlineLevel="0" max="8" min="8" style="1" width="16"/>
  </cols>
  <sheetData>
    <row r="1" customFormat="false" ht="15.75" hidden="false" customHeight="true" outlineLevel="0" collapsed="false">
      <c r="A1" s="2" t="s">
        <v>0</v>
      </c>
    </row>
    <row r="2" customFormat="false" ht="15" hidden="false" customHeight="true" outlineLevel="0" collapsed="false">
      <c r="A2" s="1" t="s">
        <v>1</v>
      </c>
    </row>
    <row r="4" customFormat="false" ht="4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75" hidden="false" customHeight="true" outlineLevel="0" collapsed="false">
      <c r="A5" s="4" t="n">
        <v>1</v>
      </c>
      <c r="B5" s="4" t="s">
        <v>10</v>
      </c>
      <c r="C5" s="4" t="s">
        <v>11</v>
      </c>
      <c r="D5" s="4" t="s">
        <v>12</v>
      </c>
      <c r="E5" s="4" t="s">
        <v>13</v>
      </c>
      <c r="F5" s="5" t="s">
        <v>14</v>
      </c>
      <c r="G5" s="6" t="s">
        <v>15</v>
      </c>
      <c r="H5" s="4" t="s">
        <v>16</v>
      </c>
    </row>
    <row r="6" customFormat="false" ht="90" hidden="false" customHeight="true" outlineLevel="0" collapsed="false">
      <c r="A6" s="4" t="n">
        <v>2</v>
      </c>
      <c r="B6" s="4" t="s">
        <v>17</v>
      </c>
      <c r="C6" s="4" t="s">
        <v>18</v>
      </c>
      <c r="D6" s="4" t="s">
        <v>19</v>
      </c>
      <c r="E6" s="4" t="s">
        <v>20</v>
      </c>
      <c r="F6" s="5" t="s">
        <v>21</v>
      </c>
      <c r="G6" s="7" t="s">
        <v>22</v>
      </c>
      <c r="H6" s="4"/>
    </row>
    <row r="7" customFormat="false" ht="60" hidden="false" customHeight="true" outlineLevel="0" collapsed="false">
      <c r="A7" s="4" t="n">
        <v>3</v>
      </c>
      <c r="B7" s="4" t="s">
        <v>23</v>
      </c>
      <c r="C7" s="4" t="s">
        <v>11</v>
      </c>
      <c r="D7" s="4" t="s">
        <v>24</v>
      </c>
      <c r="E7" s="4" t="s">
        <v>25</v>
      </c>
      <c r="F7" s="5" t="s">
        <v>26</v>
      </c>
      <c r="G7" s="7" t="s">
        <v>22</v>
      </c>
      <c r="H7" s="4"/>
    </row>
    <row r="8" customFormat="false" ht="90" hidden="false" customHeight="true" outlineLevel="0" collapsed="false">
      <c r="A8" s="4" t="n">
        <v>4</v>
      </c>
      <c r="B8" s="4" t="s">
        <v>27</v>
      </c>
      <c r="C8" s="4" t="s">
        <v>28</v>
      </c>
      <c r="D8" s="4" t="s">
        <v>29</v>
      </c>
      <c r="E8" s="4" t="s">
        <v>30</v>
      </c>
      <c r="F8" s="5" t="s">
        <v>14</v>
      </c>
      <c r="G8" s="6" t="s">
        <v>15</v>
      </c>
      <c r="H8" s="4"/>
    </row>
    <row r="9" customFormat="false" ht="45" hidden="false" customHeight="true" outlineLevel="0" collapsed="false">
      <c r="A9" s="4" t="n">
        <v>5</v>
      </c>
      <c r="B9" s="4" t="s">
        <v>31</v>
      </c>
      <c r="C9" s="4" t="s">
        <v>18</v>
      </c>
      <c r="D9" s="4" t="s">
        <v>32</v>
      </c>
      <c r="E9" s="4" t="s">
        <v>33</v>
      </c>
      <c r="F9" s="5" t="s">
        <v>34</v>
      </c>
      <c r="G9" s="6" t="s">
        <v>15</v>
      </c>
      <c r="H9" s="4"/>
    </row>
    <row r="10" customFormat="false" ht="60" hidden="false" customHeight="true" outlineLevel="0" collapsed="false">
      <c r="A10" s="4" t="n">
        <v>6</v>
      </c>
      <c r="B10" s="4" t="s">
        <v>35</v>
      </c>
      <c r="C10" s="4" t="s">
        <v>36</v>
      </c>
      <c r="D10" s="4" t="s">
        <v>37</v>
      </c>
      <c r="E10" s="4" t="s">
        <v>38</v>
      </c>
      <c r="F10" s="5" t="s">
        <v>14</v>
      </c>
      <c r="G10" s="6" t="s">
        <v>15</v>
      </c>
      <c r="H10" s="4" t="s">
        <v>16</v>
      </c>
    </row>
    <row r="11" customFormat="false" ht="60" hidden="false" customHeight="true" outlineLevel="0" collapsed="false">
      <c r="A11" s="4" t="n">
        <v>7</v>
      </c>
      <c r="B11" s="4" t="s">
        <v>39</v>
      </c>
      <c r="C11" s="4" t="s">
        <v>40</v>
      </c>
      <c r="D11" s="4" t="s">
        <v>41</v>
      </c>
      <c r="E11" s="4" t="s">
        <v>42</v>
      </c>
      <c r="F11" s="5" t="s">
        <v>14</v>
      </c>
      <c r="G11" s="6" t="s">
        <v>15</v>
      </c>
      <c r="H11" s="4"/>
    </row>
    <row r="12" customFormat="false" ht="60" hidden="false" customHeight="true" outlineLevel="0" collapsed="false">
      <c r="A12" s="4" t="n">
        <v>8</v>
      </c>
      <c r="B12" s="4" t="s">
        <v>43</v>
      </c>
      <c r="C12" s="4" t="s">
        <v>11</v>
      </c>
      <c r="D12" s="4" t="s">
        <v>44</v>
      </c>
      <c r="E12" s="4" t="s">
        <v>45</v>
      </c>
      <c r="F12" s="5" t="s">
        <v>26</v>
      </c>
      <c r="G12" s="7" t="s">
        <v>22</v>
      </c>
      <c r="H12" s="4"/>
    </row>
    <row r="13" customFormat="false" ht="60" hidden="false" customHeight="true" outlineLevel="0" collapsed="false">
      <c r="A13" s="4" t="n">
        <v>9</v>
      </c>
      <c r="B13" s="4" t="s">
        <v>46</v>
      </c>
      <c r="C13" s="4" t="s">
        <v>36</v>
      </c>
      <c r="D13" s="4" t="s">
        <v>47</v>
      </c>
      <c r="E13" s="4" t="s">
        <v>48</v>
      </c>
      <c r="F13" s="5" t="s">
        <v>14</v>
      </c>
      <c r="G13" s="6" t="s">
        <v>15</v>
      </c>
      <c r="H13" s="4" t="s">
        <v>16</v>
      </c>
    </row>
    <row r="14" customFormat="false" ht="60" hidden="false" customHeight="true" outlineLevel="0" collapsed="false">
      <c r="A14" s="4" t="n">
        <v>10</v>
      </c>
      <c r="B14" s="4" t="s">
        <v>49</v>
      </c>
      <c r="C14" s="4" t="s">
        <v>18</v>
      </c>
      <c r="D14" s="4" t="s">
        <v>50</v>
      </c>
      <c r="E14" s="4" t="s">
        <v>51</v>
      </c>
      <c r="F14" s="5" t="s">
        <v>14</v>
      </c>
      <c r="G14" s="6" t="s">
        <v>15</v>
      </c>
      <c r="H14" s="4"/>
    </row>
    <row r="15" customFormat="false" ht="75" hidden="false" customHeight="true" outlineLevel="0" collapsed="false">
      <c r="A15" s="4" t="n">
        <v>11</v>
      </c>
      <c r="B15" s="4" t="s">
        <v>49</v>
      </c>
      <c r="C15" s="4" t="s">
        <v>11</v>
      </c>
      <c r="D15" s="4" t="s">
        <v>52</v>
      </c>
      <c r="E15" s="4" t="s">
        <v>53</v>
      </c>
      <c r="F15" s="5" t="s">
        <v>26</v>
      </c>
      <c r="G15" s="8" t="s">
        <v>54</v>
      </c>
      <c r="H15" s="4" t="s">
        <v>16</v>
      </c>
    </row>
    <row r="16" customFormat="false" ht="75" hidden="false" customHeight="true" outlineLevel="0" collapsed="false">
      <c r="A16" s="4" t="n">
        <v>12</v>
      </c>
      <c r="B16" s="4" t="s">
        <v>55</v>
      </c>
      <c r="C16" s="4" t="s">
        <v>56</v>
      </c>
      <c r="D16" s="4" t="s">
        <v>57</v>
      </c>
      <c r="E16" s="4" t="s">
        <v>58</v>
      </c>
      <c r="F16" s="5" t="s">
        <v>14</v>
      </c>
      <c r="G16" s="6" t="s">
        <v>15</v>
      </c>
      <c r="H16" s="4" t="s">
        <v>16</v>
      </c>
    </row>
    <row r="17" customFormat="false" ht="45" hidden="false" customHeight="true" outlineLevel="0" collapsed="false">
      <c r="A17" s="4" t="n">
        <v>13</v>
      </c>
      <c r="B17" s="4" t="s">
        <v>55</v>
      </c>
      <c r="C17" s="4" t="s">
        <v>36</v>
      </c>
      <c r="D17" s="4" t="s">
        <v>59</v>
      </c>
      <c r="E17" s="4" t="s">
        <v>60</v>
      </c>
      <c r="F17" s="5" t="s">
        <v>61</v>
      </c>
      <c r="G17" s="7" t="s">
        <v>22</v>
      </c>
      <c r="H17" s="4"/>
    </row>
    <row r="18" customFormat="false" ht="60" hidden="false" customHeight="true" outlineLevel="0" collapsed="false">
      <c r="A18" s="4" t="n">
        <v>14</v>
      </c>
      <c r="B18" s="4" t="s">
        <v>62</v>
      </c>
      <c r="C18" s="4" t="s">
        <v>18</v>
      </c>
      <c r="D18" s="4" t="s">
        <v>63</v>
      </c>
      <c r="E18" s="4" t="s">
        <v>64</v>
      </c>
      <c r="F18" s="5" t="s">
        <v>14</v>
      </c>
      <c r="G18" s="6" t="s">
        <v>15</v>
      </c>
      <c r="H18" s="4" t="s">
        <v>16</v>
      </c>
    </row>
    <row r="19" customFormat="false" ht="75" hidden="false" customHeight="true" outlineLevel="0" collapsed="false">
      <c r="A19" s="4" t="n">
        <v>15</v>
      </c>
      <c r="B19" s="4" t="s">
        <v>65</v>
      </c>
      <c r="C19" s="4" t="s">
        <v>36</v>
      </c>
      <c r="D19" s="4" t="s">
        <v>66</v>
      </c>
      <c r="E19" s="4" t="s">
        <v>67</v>
      </c>
      <c r="F19" s="5" t="s">
        <v>34</v>
      </c>
      <c r="G19" s="6" t="s">
        <v>15</v>
      </c>
      <c r="H19" s="4" t="s">
        <v>16</v>
      </c>
    </row>
    <row r="20" customFormat="false" ht="60" hidden="false" customHeight="true" outlineLevel="0" collapsed="false">
      <c r="A20" s="4" t="n">
        <v>16</v>
      </c>
      <c r="B20" s="4" t="s">
        <v>68</v>
      </c>
      <c r="C20" s="4" t="s">
        <v>18</v>
      </c>
      <c r="D20" s="4" t="s">
        <v>69</v>
      </c>
      <c r="E20" s="4" t="s">
        <v>70</v>
      </c>
      <c r="F20" s="5" t="s">
        <v>34</v>
      </c>
      <c r="G20" s="6" t="s">
        <v>15</v>
      </c>
      <c r="H20" s="4"/>
    </row>
    <row r="21" customFormat="false" ht="90" hidden="false" customHeight="true" outlineLevel="0" collapsed="false">
      <c r="A21" s="4" t="n">
        <v>17</v>
      </c>
      <c r="B21" s="4" t="s">
        <v>71</v>
      </c>
      <c r="C21" s="4" t="s">
        <v>28</v>
      </c>
      <c r="D21" s="4" t="s">
        <v>72</v>
      </c>
      <c r="E21" s="4" t="s">
        <v>73</v>
      </c>
      <c r="F21" s="5" t="s">
        <v>34</v>
      </c>
      <c r="G21" s="6" t="s">
        <v>15</v>
      </c>
      <c r="H21" s="4"/>
    </row>
    <row r="22" customFormat="false" ht="45" hidden="false" customHeight="true" outlineLevel="0" collapsed="false">
      <c r="A22" s="4" t="n">
        <v>18</v>
      </c>
      <c r="B22" s="4" t="s">
        <v>74</v>
      </c>
      <c r="C22" s="4" t="s">
        <v>40</v>
      </c>
      <c r="D22" s="4" t="s">
        <v>75</v>
      </c>
      <c r="E22" s="4" t="s">
        <v>76</v>
      </c>
      <c r="F22" s="5" t="s">
        <v>77</v>
      </c>
      <c r="G22" s="8" t="s">
        <v>54</v>
      </c>
      <c r="H22" s="4"/>
    </row>
    <row r="23" customFormat="false" ht="60" hidden="false" customHeight="true" outlineLevel="0" collapsed="false">
      <c r="A23" s="4" t="n">
        <v>19</v>
      </c>
      <c r="B23" s="4" t="s">
        <v>78</v>
      </c>
      <c r="C23" s="4" t="s">
        <v>18</v>
      </c>
      <c r="D23" s="4" t="s">
        <v>79</v>
      </c>
      <c r="E23" s="4" t="s">
        <v>80</v>
      </c>
      <c r="F23" s="5" t="s">
        <v>34</v>
      </c>
      <c r="G23" s="6" t="s">
        <v>15</v>
      </c>
      <c r="H23" s="4"/>
    </row>
    <row r="24" customFormat="false" ht="60" hidden="false" customHeight="true" outlineLevel="0" collapsed="false">
      <c r="A24" s="4" t="n">
        <v>20</v>
      </c>
      <c r="B24" s="4" t="s">
        <v>81</v>
      </c>
      <c r="C24" s="4" t="s">
        <v>40</v>
      </c>
      <c r="D24" s="4" t="s">
        <v>82</v>
      </c>
      <c r="E24" s="4" t="s">
        <v>83</v>
      </c>
      <c r="F24" s="5" t="s">
        <v>34</v>
      </c>
      <c r="G24" s="6" t="s">
        <v>15</v>
      </c>
      <c r="H24" s="4"/>
    </row>
    <row r="25" customFormat="false" ht="60" hidden="false" customHeight="true" outlineLevel="0" collapsed="false">
      <c r="A25" s="4" t="n">
        <v>21</v>
      </c>
      <c r="B25" s="4" t="s">
        <v>84</v>
      </c>
      <c r="C25" s="4" t="s">
        <v>56</v>
      </c>
      <c r="D25" s="4" t="s">
        <v>85</v>
      </c>
      <c r="E25" s="4" t="s">
        <v>86</v>
      </c>
      <c r="F25" s="5" t="s">
        <v>34</v>
      </c>
      <c r="G25" s="6" t="s">
        <v>15</v>
      </c>
      <c r="H25" s="4"/>
    </row>
    <row r="26" customFormat="false" ht="105" hidden="false" customHeight="true" outlineLevel="0" collapsed="false">
      <c r="A26" s="4" t="n">
        <v>22</v>
      </c>
      <c r="B26" s="4" t="s">
        <v>87</v>
      </c>
      <c r="C26" s="4" t="s">
        <v>11</v>
      </c>
      <c r="D26" s="4" t="s">
        <v>88</v>
      </c>
      <c r="E26" s="4" t="s">
        <v>89</v>
      </c>
      <c r="F26" s="5" t="s">
        <v>90</v>
      </c>
      <c r="G26" s="6" t="s">
        <v>15</v>
      </c>
      <c r="H26" s="4" t="s">
        <v>16</v>
      </c>
    </row>
    <row r="27" customFormat="false" ht="75" hidden="false" customHeight="true" outlineLevel="0" collapsed="false">
      <c r="A27" s="4" t="n">
        <v>23</v>
      </c>
      <c r="B27" s="4" t="s">
        <v>91</v>
      </c>
      <c r="C27" s="4" t="s">
        <v>36</v>
      </c>
      <c r="D27" s="4" t="s">
        <v>92</v>
      </c>
      <c r="E27" s="4" t="s">
        <v>93</v>
      </c>
      <c r="F27" s="5" t="s">
        <v>61</v>
      </c>
      <c r="G27" s="8" t="s">
        <v>54</v>
      </c>
      <c r="H27" s="4"/>
    </row>
    <row r="28" customFormat="false" ht="60" hidden="false" customHeight="true" outlineLevel="0" collapsed="false">
      <c r="A28" s="4" t="n">
        <v>24</v>
      </c>
      <c r="B28" s="4" t="s">
        <v>94</v>
      </c>
      <c r="C28" s="4" t="s">
        <v>36</v>
      </c>
      <c r="D28" s="4" t="s">
        <v>95</v>
      </c>
      <c r="E28" s="4" t="s">
        <v>96</v>
      </c>
      <c r="F28" s="5" t="s">
        <v>90</v>
      </c>
      <c r="G28" s="6" t="s">
        <v>15</v>
      </c>
      <c r="H28" s="4" t="s">
        <v>16</v>
      </c>
    </row>
    <row r="29" customFormat="false" ht="60" hidden="false" customHeight="true" outlineLevel="0" collapsed="false">
      <c r="A29" s="4" t="n">
        <v>25</v>
      </c>
      <c r="B29" s="4" t="s">
        <v>97</v>
      </c>
      <c r="C29" s="4" t="s">
        <v>40</v>
      </c>
      <c r="D29" s="4" t="s">
        <v>98</v>
      </c>
      <c r="E29" s="4" t="s">
        <v>99</v>
      </c>
      <c r="F29" s="5" t="s">
        <v>90</v>
      </c>
      <c r="G29" s="6" t="s">
        <v>15</v>
      </c>
      <c r="H29" s="4"/>
    </row>
    <row r="30" customFormat="false" ht="45" hidden="false" customHeight="true" outlineLevel="0" collapsed="false">
      <c r="A30" s="4" t="n">
        <v>26</v>
      </c>
      <c r="B30" s="4" t="s">
        <v>100</v>
      </c>
      <c r="C30" s="4" t="s">
        <v>56</v>
      </c>
      <c r="D30" s="4" t="s">
        <v>101</v>
      </c>
      <c r="E30" s="4" t="s">
        <v>102</v>
      </c>
      <c r="F30" s="5" t="s">
        <v>103</v>
      </c>
      <c r="G30" s="6" t="s">
        <v>15</v>
      </c>
      <c r="H30" s="4"/>
    </row>
    <row r="31" customFormat="false" ht="60" hidden="false" customHeight="true" outlineLevel="0" collapsed="false">
      <c r="A31" s="4" t="n">
        <v>27</v>
      </c>
      <c r="B31" s="4" t="s">
        <v>104</v>
      </c>
      <c r="C31" s="4" t="s">
        <v>28</v>
      </c>
      <c r="D31" s="4" t="s">
        <v>105</v>
      </c>
      <c r="E31" s="4" t="s">
        <v>106</v>
      </c>
      <c r="F31" s="5" t="s">
        <v>103</v>
      </c>
      <c r="G31" s="6" t="s">
        <v>15</v>
      </c>
      <c r="H31" s="4"/>
    </row>
    <row r="32" customFormat="false" ht="45" hidden="false" customHeight="true" outlineLevel="0" collapsed="false">
      <c r="A32" s="4" t="n">
        <v>28</v>
      </c>
      <c r="B32" s="4" t="s">
        <v>107</v>
      </c>
      <c r="C32" s="4" t="s">
        <v>56</v>
      </c>
      <c r="D32" s="4" t="s">
        <v>108</v>
      </c>
      <c r="E32" s="4" t="s">
        <v>109</v>
      </c>
      <c r="F32" s="5" t="s">
        <v>103</v>
      </c>
      <c r="G32" s="6" t="s">
        <v>15</v>
      </c>
      <c r="H32" s="4"/>
    </row>
    <row r="33" customFormat="false" ht="60" hidden="false" customHeight="true" outlineLevel="0" collapsed="false">
      <c r="A33" s="4" t="n">
        <v>29</v>
      </c>
      <c r="B33" s="4" t="s">
        <v>110</v>
      </c>
      <c r="C33" s="4" t="s">
        <v>28</v>
      </c>
      <c r="D33" s="4" t="s">
        <v>111</v>
      </c>
      <c r="E33" s="4" t="s">
        <v>112</v>
      </c>
      <c r="F33" s="5" t="s">
        <v>103</v>
      </c>
      <c r="G33" s="6" t="s">
        <v>15</v>
      </c>
      <c r="H33" s="4"/>
    </row>
    <row r="34" customFormat="false" ht="45" hidden="false" customHeight="true" outlineLevel="0" collapsed="false">
      <c r="A34" s="4" t="n">
        <v>30</v>
      </c>
      <c r="B34" s="4" t="s">
        <v>113</v>
      </c>
      <c r="C34" s="4" t="s">
        <v>11</v>
      </c>
      <c r="D34" s="4" t="s">
        <v>114</v>
      </c>
      <c r="E34" s="4" t="s">
        <v>115</v>
      </c>
      <c r="F34" s="5" t="s">
        <v>103</v>
      </c>
      <c r="G34" s="6" t="s">
        <v>15</v>
      </c>
      <c r="H34" s="4"/>
    </row>
    <row r="35" customFormat="false" ht="60" hidden="false" customHeight="true" outlineLevel="0" collapsed="false">
      <c r="A35" s="4" t="n">
        <v>31</v>
      </c>
      <c r="B35" s="4" t="s">
        <v>116</v>
      </c>
      <c r="C35" s="4" t="s">
        <v>11</v>
      </c>
      <c r="D35" s="4" t="s">
        <v>117</v>
      </c>
      <c r="E35" s="4" t="s">
        <v>118</v>
      </c>
      <c r="F35" s="5" t="s">
        <v>103</v>
      </c>
      <c r="G35" s="6" t="s">
        <v>15</v>
      </c>
      <c r="H35" s="4" t="s">
        <v>16</v>
      </c>
    </row>
  </sheetData>
  <autoFilter ref="A4:H3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42"/>
    <col collapsed="false" customWidth="true" hidden="false" outlineLevel="0" max="3" min="3" style="1" width="16"/>
    <col collapsed="false" customWidth="true" hidden="false" outlineLevel="0" max="5" min="4" style="1" width="26"/>
    <col collapsed="false" customWidth="true" hidden="false" outlineLevel="0" max="6" min="6" style="1" width="22"/>
    <col collapsed="false" customWidth="true" hidden="false" outlineLevel="0" max="7" min="7" style="1" width="14"/>
  </cols>
  <sheetData>
    <row r="1" customFormat="false" ht="15.75" hidden="false" customHeight="true" outlineLevel="0" collapsed="false">
      <c r="A1" s="2" t="s">
        <v>119</v>
      </c>
    </row>
    <row r="3" customFormat="false" ht="30" hidden="false" customHeight="true" outlineLevel="0" collapsed="false">
      <c r="A3" s="3" t="s">
        <v>120</v>
      </c>
      <c r="B3" s="3" t="s">
        <v>121</v>
      </c>
      <c r="C3" s="3" t="s">
        <v>122</v>
      </c>
      <c r="D3" s="3" t="s">
        <v>123</v>
      </c>
      <c r="E3" s="3" t="s">
        <v>124</v>
      </c>
      <c r="F3" s="3" t="s">
        <v>125</v>
      </c>
      <c r="G3" s="3" t="s">
        <v>8</v>
      </c>
    </row>
    <row r="4" customFormat="false" ht="45" hidden="false" customHeight="true" outlineLevel="0" collapsed="false">
      <c r="A4" s="4" t="s">
        <v>126</v>
      </c>
      <c r="B4" s="4" t="s">
        <v>127</v>
      </c>
      <c r="C4" s="4" t="s">
        <v>128</v>
      </c>
      <c r="D4" s="4" t="s">
        <v>129</v>
      </c>
      <c r="E4" s="4" t="s">
        <v>130</v>
      </c>
      <c r="F4" s="4" t="s">
        <v>131</v>
      </c>
      <c r="G4" s="9" t="s">
        <v>132</v>
      </c>
    </row>
    <row r="5" customFormat="false" ht="15" hidden="false" customHeight="true" outlineLevel="0" collapsed="false">
      <c r="A5" s="4" t="s">
        <v>133</v>
      </c>
      <c r="B5" s="4" t="s">
        <v>134</v>
      </c>
      <c r="C5" s="4" t="s">
        <v>135</v>
      </c>
      <c r="D5" s="4" t="s">
        <v>136</v>
      </c>
      <c r="E5" s="4" t="s">
        <v>137</v>
      </c>
      <c r="F5" s="4" t="s">
        <v>131</v>
      </c>
      <c r="G5" s="9" t="s">
        <v>132</v>
      </c>
    </row>
    <row r="6" customFormat="false" ht="30" hidden="false" customHeight="true" outlineLevel="0" collapsed="false">
      <c r="A6" s="4" t="s">
        <v>138</v>
      </c>
      <c r="B6" s="4" t="s">
        <v>139</v>
      </c>
      <c r="C6" s="4" t="s">
        <v>140</v>
      </c>
      <c r="D6" s="4" t="s">
        <v>141</v>
      </c>
      <c r="E6" s="4" t="s">
        <v>130</v>
      </c>
      <c r="F6" s="4" t="s">
        <v>131</v>
      </c>
      <c r="G6" s="9" t="s">
        <v>132</v>
      </c>
    </row>
    <row r="7" customFormat="false" ht="15" hidden="false" customHeight="true" outlineLevel="0" collapsed="false">
      <c r="A7" s="4" t="s">
        <v>142</v>
      </c>
      <c r="B7" s="4" t="s">
        <v>143</v>
      </c>
      <c r="C7" s="4" t="s">
        <v>144</v>
      </c>
      <c r="D7" s="4" t="s">
        <v>129</v>
      </c>
      <c r="E7" s="4" t="s">
        <v>136</v>
      </c>
      <c r="F7" s="4" t="s">
        <v>131</v>
      </c>
      <c r="G7" s="9" t="s">
        <v>132</v>
      </c>
    </row>
    <row r="8" customFormat="false" ht="15" hidden="false" customHeight="true" outlineLevel="0" collapsed="false">
      <c r="A8" s="4" t="s">
        <v>145</v>
      </c>
      <c r="B8" s="4" t="s">
        <v>146</v>
      </c>
      <c r="C8" s="4" t="s">
        <v>144</v>
      </c>
      <c r="D8" s="4" t="s">
        <v>141</v>
      </c>
      <c r="E8" s="4" t="s">
        <v>137</v>
      </c>
      <c r="F8" s="4" t="s">
        <v>131</v>
      </c>
      <c r="G8" s="9" t="s">
        <v>132</v>
      </c>
    </row>
    <row r="10" customFormat="false" ht="300" hidden="false" customHeight="true" outlineLevel="0" collapsed="false">
      <c r="A10" s="10" t="s">
        <v>147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5" min="4" style="1" width="50"/>
    <col collapsed="false" customWidth="true" hidden="false" outlineLevel="0" max="6" min="6" style="1" width="28"/>
    <col collapsed="false" customWidth="true" hidden="false" outlineLevel="0" max="7" min="7" style="1" width="30"/>
  </cols>
  <sheetData>
    <row r="1" customFormat="false" ht="15.75" hidden="false" customHeight="true" outlineLevel="0" collapsed="false">
      <c r="A1" s="2" t="s">
        <v>148</v>
      </c>
    </row>
    <row r="2" customFormat="false" ht="15" hidden="false" customHeight="true" outlineLevel="0" collapsed="false">
      <c r="A2" s="1" t="s">
        <v>149</v>
      </c>
    </row>
    <row r="4" customFormat="false" ht="45" hidden="false" customHeight="true" outlineLevel="0" collapsed="false">
      <c r="A4" s="3" t="s">
        <v>150</v>
      </c>
      <c r="B4" s="3" t="s">
        <v>3</v>
      </c>
      <c r="C4" s="3" t="s">
        <v>151</v>
      </c>
      <c r="D4" s="3" t="s">
        <v>152</v>
      </c>
      <c r="E4" s="3" t="s">
        <v>153</v>
      </c>
      <c r="F4" s="3" t="s">
        <v>154</v>
      </c>
      <c r="G4" s="3" t="s">
        <v>155</v>
      </c>
    </row>
    <row r="5" customFormat="false" ht="178.5" hidden="false" customHeight="true" outlineLevel="0" collapsed="false">
      <c r="A5" s="4" t="n">
        <v>2</v>
      </c>
      <c r="B5" s="4" t="s">
        <v>17</v>
      </c>
      <c r="C5" s="4" t="s">
        <v>18</v>
      </c>
      <c r="D5" s="4" t="s">
        <v>156</v>
      </c>
      <c r="E5" s="4" t="s">
        <v>157</v>
      </c>
      <c r="F5" s="7" t="s">
        <v>22</v>
      </c>
      <c r="G5" s="11" t="s">
        <v>158</v>
      </c>
    </row>
    <row r="6" customFormat="false" ht="178.5" hidden="false" customHeight="true" outlineLevel="0" collapsed="false">
      <c r="A6" s="4" t="n">
        <v>3</v>
      </c>
      <c r="B6" s="4" t="s">
        <v>23</v>
      </c>
      <c r="C6" s="4" t="s">
        <v>11</v>
      </c>
      <c r="D6" s="4" t="s">
        <v>159</v>
      </c>
      <c r="E6" s="4" t="s">
        <v>160</v>
      </c>
      <c r="F6" s="7" t="s">
        <v>22</v>
      </c>
      <c r="G6" s="11" t="s">
        <v>161</v>
      </c>
    </row>
    <row r="7" customFormat="false" ht="165.75" hidden="false" customHeight="true" outlineLevel="0" collapsed="false">
      <c r="A7" s="4" t="n">
        <v>8</v>
      </c>
      <c r="B7" s="4" t="s">
        <v>43</v>
      </c>
      <c r="C7" s="4" t="s">
        <v>11</v>
      </c>
      <c r="D7" s="4" t="s">
        <v>162</v>
      </c>
      <c r="E7" s="4" t="s">
        <v>163</v>
      </c>
      <c r="F7" s="7" t="s">
        <v>22</v>
      </c>
      <c r="G7" s="11" t="s">
        <v>164</v>
      </c>
    </row>
    <row r="8" customFormat="false" ht="178.5" hidden="false" customHeight="true" outlineLevel="0" collapsed="false">
      <c r="A8" s="4" t="n">
        <v>11</v>
      </c>
      <c r="B8" s="4" t="s">
        <v>49</v>
      </c>
      <c r="C8" s="4" t="s">
        <v>11</v>
      </c>
      <c r="D8" s="4" t="s">
        <v>165</v>
      </c>
      <c r="E8" s="4" t="s">
        <v>166</v>
      </c>
      <c r="F8" s="8" t="s">
        <v>54</v>
      </c>
      <c r="G8" s="11" t="s">
        <v>167</v>
      </c>
    </row>
    <row r="9" customFormat="false" ht="127.5" hidden="false" customHeight="true" outlineLevel="0" collapsed="false">
      <c r="A9" s="4" t="n">
        <v>13</v>
      </c>
      <c r="B9" s="4" t="s">
        <v>55</v>
      </c>
      <c r="C9" s="4" t="s">
        <v>36</v>
      </c>
      <c r="D9" s="4" t="s">
        <v>168</v>
      </c>
      <c r="E9" s="4" t="s">
        <v>169</v>
      </c>
      <c r="F9" s="7" t="s">
        <v>22</v>
      </c>
      <c r="G9" s="11" t="s">
        <v>170</v>
      </c>
    </row>
    <row r="10" customFormat="false" ht="153" hidden="false" customHeight="true" outlineLevel="0" collapsed="false">
      <c r="A10" s="4" t="n">
        <v>18</v>
      </c>
      <c r="B10" s="4" t="s">
        <v>74</v>
      </c>
      <c r="C10" s="4" t="s">
        <v>40</v>
      </c>
      <c r="D10" s="4" t="s">
        <v>171</v>
      </c>
      <c r="E10" s="4" t="s">
        <v>172</v>
      </c>
      <c r="F10" s="8" t="s">
        <v>54</v>
      </c>
      <c r="G10" s="11" t="s">
        <v>173</v>
      </c>
    </row>
    <row r="11" customFormat="false" ht="178.5" hidden="false" customHeight="true" outlineLevel="0" collapsed="false">
      <c r="A11" s="4" t="n">
        <v>23</v>
      </c>
      <c r="B11" s="4" t="s">
        <v>91</v>
      </c>
      <c r="C11" s="4" t="s">
        <v>36</v>
      </c>
      <c r="D11" s="4" t="s">
        <v>174</v>
      </c>
      <c r="E11" s="4" t="s">
        <v>175</v>
      </c>
      <c r="F11" s="8" t="s">
        <v>54</v>
      </c>
      <c r="G11" s="11" t="s">
        <v>176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22"/>
    <col collapsed="false" customWidth="true" hidden="false" outlineLevel="0" max="4" min="3" style="1" width="14"/>
  </cols>
  <sheetData>
    <row r="1" customFormat="false" ht="15.75" hidden="false" customHeight="true" outlineLevel="0" collapsed="false">
      <c r="A1" s="2" t="s">
        <v>177</v>
      </c>
    </row>
    <row r="3" customFormat="false" ht="30" hidden="false" customHeight="true" outlineLevel="0" collapsed="false">
      <c r="A3" s="3" t="s">
        <v>151</v>
      </c>
      <c r="B3" s="3" t="s">
        <v>178</v>
      </c>
      <c r="C3" s="3" t="s">
        <v>179</v>
      </c>
      <c r="D3" s="3" t="s">
        <v>180</v>
      </c>
    </row>
    <row r="4" customFormat="false" ht="15" hidden="false" customHeight="true" outlineLevel="0" collapsed="false">
      <c r="A4" s="12" t="s">
        <v>36</v>
      </c>
      <c r="B4" s="12" t="n">
        <f aca="false">COUNTIFS(Реєстр!$C$5:$C$200,A4,Реєстр!$G$5:$G$200,"прийнято*")</f>
        <v>5</v>
      </c>
      <c r="C4" s="12" t="n">
        <v>2</v>
      </c>
      <c r="D4" s="12" t="str">
        <f aca="false">IF(B4&gt;=C4,"так","ні")</f>
        <v>так</v>
      </c>
    </row>
    <row r="5" customFormat="false" ht="15" hidden="false" customHeight="true" outlineLevel="0" collapsed="false">
      <c r="A5" s="12" t="s">
        <v>11</v>
      </c>
      <c r="B5" s="12" t="n">
        <f aca="false">COUNTIFS(Реєстр!$C$5:$C$200,A5,Реєстр!$G$5:$G$200,"прийнято*")</f>
        <v>6</v>
      </c>
      <c r="C5" s="12" t="n">
        <v>2</v>
      </c>
      <c r="D5" s="12" t="str">
        <f aca="false">IF(B5&gt;=C5,"так","ні")</f>
        <v>так</v>
      </c>
    </row>
    <row r="6" customFormat="false" ht="15" hidden="false" customHeight="true" outlineLevel="0" collapsed="false">
      <c r="A6" s="12" t="s">
        <v>18</v>
      </c>
      <c r="B6" s="12" t="n">
        <f aca="false">COUNTIFS(Реєстр!$C$5:$C$200,A6,Реєстр!$G$5:$G$200,"прийнято*")</f>
        <v>6</v>
      </c>
      <c r="C6" s="12" t="n">
        <v>2</v>
      </c>
      <c r="D6" s="12" t="str">
        <f aca="false">IF(B6&gt;=C6,"так","ні")</f>
        <v>так</v>
      </c>
    </row>
    <row r="7" customFormat="false" ht="15" hidden="false" customHeight="true" outlineLevel="0" collapsed="false">
      <c r="A7" s="12" t="s">
        <v>40</v>
      </c>
      <c r="B7" s="12" t="n">
        <f aca="false">COUNTIFS(Реєстр!$C$5:$C$200,A7,Реєстр!$G$5:$G$200,"прийнято*")</f>
        <v>3</v>
      </c>
      <c r="C7" s="12" t="n">
        <v>2</v>
      </c>
      <c r="D7" s="12" t="str">
        <f aca="false">IF(B7&gt;=C7,"так","ні")</f>
        <v>так</v>
      </c>
    </row>
    <row r="8" customFormat="false" ht="15" hidden="false" customHeight="true" outlineLevel="0" collapsed="false">
      <c r="A8" s="12" t="s">
        <v>56</v>
      </c>
      <c r="B8" s="12" t="n">
        <f aca="false">COUNTIFS(Реєстр!$C$5:$C$200,A8,Реєстр!$G$5:$G$200,"прийнято*")</f>
        <v>4</v>
      </c>
      <c r="C8" s="12" t="n">
        <v>2</v>
      </c>
      <c r="D8" s="12" t="str">
        <f aca="false">IF(B8&gt;=C8,"так","ні")</f>
        <v>так</v>
      </c>
    </row>
    <row r="9" customFormat="false" ht="15" hidden="false" customHeight="true" outlineLevel="0" collapsed="false">
      <c r="A9" s="12" t="s">
        <v>28</v>
      </c>
      <c r="B9" s="12" t="n">
        <f aca="false">COUNTIFS(Реєстр!$C$5:$C$200,A9,Реєстр!$G$5:$G$200,"прийнято*")</f>
        <v>4</v>
      </c>
      <c r="C9" s="12" t="n">
        <v>2</v>
      </c>
      <c r="D9" s="12" t="str">
        <f aca="false">IF(B9&gt;=C9,"так","ні")</f>
        <v>так</v>
      </c>
    </row>
    <row r="10" customFormat="false" ht="15" hidden="false" customHeight="true" outlineLevel="0" collapsed="false">
      <c r="A10" s="12" t="s">
        <v>181</v>
      </c>
      <c r="B10" s="12" t="n">
        <f aca="false">COUNTIF(Реєстр!$G$5:$G$200,"прийнято*")</f>
        <v>28</v>
      </c>
      <c r="C10" s="12" t="n">
        <v>20</v>
      </c>
      <c r="D10" s="12" t="str">
        <f aca="false">IF(B10&gt;=C10,"так","ні")</f>
        <v>так</v>
      </c>
    </row>
    <row r="11" customFormat="false" ht="15" hidden="false" customHeight="true" outlineLevel="0" collapsed="false">
      <c r="A11" s="12" t="s">
        <v>182</v>
      </c>
      <c r="B11" s="12" t="n">
        <f aca="false">COUNTA(Реєстр!$A$5:$A$200)</f>
        <v>31</v>
      </c>
      <c r="C11" s="12"/>
      <c r="D11" s="12"/>
    </row>
    <row r="12" customFormat="false" ht="15" hidden="false" customHeight="true" outlineLevel="0" collapsed="false">
      <c r="A12" s="12" t="s">
        <v>183</v>
      </c>
      <c r="B12" s="12" t="n">
        <f aca="false">COUNTIF(Реєстр!$F$5:$F$200,"[ПІБ*")</f>
        <v>0</v>
      </c>
      <c r="C12" s="12"/>
      <c r="D12" s="12"/>
    </row>
    <row r="14" customFormat="false" ht="30" hidden="false" customHeight="true" outlineLevel="0" collapsed="false">
      <c r="A14" s="13" t="s">
        <v>184</v>
      </c>
      <c r="B14" s="14" t="s">
        <v>185</v>
      </c>
      <c r="C14" s="15" t="s">
        <v>186</v>
      </c>
    </row>
    <row r="15" customFormat="false" ht="45" hidden="false" customHeight="true" outlineLevel="0" collapsed="false">
      <c r="A15" s="13" t="s">
        <v>187</v>
      </c>
      <c r="B15" s="14" t="s">
        <v>188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20" activeCellId="0" sqref="I20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2"/>
    <col collapsed="false" customWidth="true" hidden="false" outlineLevel="0" max="3" min="3" style="1" width="16"/>
    <col collapsed="false" customWidth="true" hidden="false" outlineLevel="0" max="4" min="4" style="1" width="22"/>
    <col collapsed="false" customWidth="true" hidden="false" outlineLevel="0" max="5" min="5" style="1" width="55"/>
    <col collapsed="false" customWidth="true" hidden="false" outlineLevel="0" max="6" min="6" style="1" width="50"/>
    <col collapsed="false" customWidth="true" hidden="false" outlineLevel="0" max="7" min="7" style="1" width="12"/>
  </cols>
  <sheetData>
    <row r="1" customFormat="false" ht="15.75" hidden="false" customHeight="true" outlineLevel="0" collapsed="false">
      <c r="A1" s="16" t="s">
        <v>189</v>
      </c>
      <c r="B1" s="16"/>
      <c r="C1" s="16"/>
      <c r="D1" s="16"/>
      <c r="E1" s="16"/>
      <c r="F1" s="16"/>
      <c r="G1" s="16"/>
    </row>
    <row r="2" customFormat="false" ht="15" hidden="false" customHeight="true" outlineLevel="0" collapsed="false">
      <c r="A2" s="17" t="s">
        <v>190</v>
      </c>
      <c r="B2" s="17"/>
      <c r="C2" s="17"/>
      <c r="D2" s="17"/>
      <c r="E2" s="17"/>
      <c r="F2" s="17"/>
      <c r="G2" s="17"/>
    </row>
    <row r="3" customFormat="false" ht="30" hidden="false" customHeight="true" outlineLevel="0" collapsed="false">
      <c r="A3" s="18" t="s">
        <v>191</v>
      </c>
      <c r="B3" s="18"/>
      <c r="C3" s="18"/>
      <c r="D3" s="18"/>
      <c r="E3" s="18"/>
      <c r="F3" s="18"/>
      <c r="G3" s="18"/>
    </row>
    <row r="4" customFormat="false" ht="15" hidden="false" customHeight="true" outlineLevel="0" collapsed="false">
      <c r="A4" s="19" t="s">
        <v>192</v>
      </c>
      <c r="B4" s="19"/>
      <c r="C4" s="19"/>
      <c r="D4" s="19"/>
      <c r="E4" s="19"/>
      <c r="F4" s="19"/>
      <c r="G4" s="19"/>
    </row>
    <row r="6" customFormat="false" ht="25.5" hidden="false" customHeight="true" outlineLevel="0" collapsed="false">
      <c r="A6" s="20" t="s">
        <v>120</v>
      </c>
      <c r="B6" s="20" t="s">
        <v>193</v>
      </c>
      <c r="C6" s="20" t="s">
        <v>194</v>
      </c>
      <c r="D6" s="20" t="s">
        <v>151</v>
      </c>
      <c r="E6" s="20" t="s">
        <v>195</v>
      </c>
      <c r="F6" s="20" t="s">
        <v>6</v>
      </c>
      <c r="G6" s="20" t="s">
        <v>196</v>
      </c>
    </row>
    <row r="7" customFormat="false" ht="15" hidden="false" customHeight="true" outlineLevel="0" collapsed="false">
      <c r="A7" s="21" t="s">
        <v>197</v>
      </c>
      <c r="B7" s="22" t="s">
        <v>198</v>
      </c>
      <c r="C7" s="21" t="s">
        <v>199</v>
      </c>
      <c r="D7" s="22" t="s">
        <v>200</v>
      </c>
      <c r="E7" s="23" t="s">
        <v>200</v>
      </c>
      <c r="F7" s="23" t="s">
        <v>200</v>
      </c>
      <c r="G7" s="24" t="n">
        <v>46299</v>
      </c>
    </row>
    <row r="8" customFormat="false" ht="25.5" hidden="false" customHeight="true" outlineLevel="0" collapsed="false">
      <c r="A8" s="25" t="s">
        <v>197</v>
      </c>
      <c r="B8" s="26" t="s">
        <v>201</v>
      </c>
      <c r="C8" s="25" t="s">
        <v>16</v>
      </c>
      <c r="D8" s="26" t="s">
        <v>36</v>
      </c>
      <c r="E8" s="27" t="s">
        <v>202</v>
      </c>
      <c r="F8" s="27" t="s">
        <v>203</v>
      </c>
      <c r="G8" s="28" t="n">
        <v>46299</v>
      </c>
    </row>
    <row r="9" customFormat="false" ht="25.5" hidden="false" customHeight="true" outlineLevel="0" collapsed="false">
      <c r="A9" s="25" t="s">
        <v>197</v>
      </c>
      <c r="B9" s="26" t="s">
        <v>204</v>
      </c>
      <c r="C9" s="25" t="s">
        <v>205</v>
      </c>
      <c r="D9" s="26" t="s">
        <v>36</v>
      </c>
      <c r="E9" s="27" t="s">
        <v>206</v>
      </c>
      <c r="F9" s="27" t="s">
        <v>207</v>
      </c>
      <c r="G9" s="28" t="n">
        <v>46299</v>
      </c>
    </row>
    <row r="10" customFormat="false" ht="15" hidden="false" customHeight="true" outlineLevel="0" collapsed="false">
      <c r="A10" s="21" t="s">
        <v>197</v>
      </c>
      <c r="B10" s="22" t="s">
        <v>208</v>
      </c>
      <c r="C10" s="21" t="s">
        <v>199</v>
      </c>
      <c r="D10" s="22" t="s">
        <v>200</v>
      </c>
      <c r="E10" s="23" t="s">
        <v>200</v>
      </c>
      <c r="F10" s="23" t="s">
        <v>200</v>
      </c>
      <c r="G10" s="24" t="n">
        <v>46299</v>
      </c>
    </row>
    <row r="11" customFormat="false" ht="25.5" hidden="false" customHeight="true" outlineLevel="0" collapsed="false">
      <c r="A11" s="25" t="s">
        <v>197</v>
      </c>
      <c r="B11" s="26" t="s">
        <v>209</v>
      </c>
      <c r="C11" s="25" t="s">
        <v>16</v>
      </c>
      <c r="D11" s="26" t="s">
        <v>36</v>
      </c>
      <c r="E11" s="27" t="s">
        <v>210</v>
      </c>
      <c r="F11" s="27" t="s">
        <v>203</v>
      </c>
      <c r="G11" s="28" t="n">
        <v>46299</v>
      </c>
    </row>
    <row r="12" customFormat="false" ht="15" hidden="false" customHeight="true" outlineLevel="0" collapsed="false">
      <c r="A12" s="21" t="s">
        <v>197</v>
      </c>
      <c r="B12" s="22" t="s">
        <v>211</v>
      </c>
      <c r="C12" s="21" t="s">
        <v>199</v>
      </c>
      <c r="D12" s="22" t="s">
        <v>200</v>
      </c>
      <c r="E12" s="23" t="s">
        <v>200</v>
      </c>
      <c r="F12" s="23" t="s">
        <v>200</v>
      </c>
      <c r="G12" s="24" t="n">
        <v>46299</v>
      </c>
    </row>
    <row r="13" customFormat="false" ht="15" hidden="false" customHeight="true" outlineLevel="0" collapsed="false">
      <c r="A13" s="21" t="s">
        <v>197</v>
      </c>
      <c r="B13" s="22" t="s">
        <v>212</v>
      </c>
      <c r="C13" s="21" t="s">
        <v>199</v>
      </c>
      <c r="D13" s="22" t="s">
        <v>200</v>
      </c>
      <c r="E13" s="23" t="s">
        <v>200</v>
      </c>
      <c r="F13" s="23" t="s">
        <v>200</v>
      </c>
      <c r="G13" s="24" t="n">
        <v>46299</v>
      </c>
    </row>
    <row r="14" customFormat="false" ht="25.5" hidden="false" customHeight="true" outlineLevel="0" collapsed="false">
      <c r="A14" s="21" t="s">
        <v>197</v>
      </c>
      <c r="B14" s="22" t="s">
        <v>213</v>
      </c>
      <c r="C14" s="21" t="s">
        <v>199</v>
      </c>
      <c r="D14" s="22" t="s">
        <v>200</v>
      </c>
      <c r="E14" s="23" t="s">
        <v>200</v>
      </c>
      <c r="F14" s="23" t="s">
        <v>200</v>
      </c>
      <c r="G14" s="24" t="n">
        <v>46299</v>
      </c>
    </row>
    <row r="15" customFormat="false" ht="25.5" hidden="false" customHeight="true" outlineLevel="0" collapsed="false">
      <c r="A15" s="25" t="s">
        <v>142</v>
      </c>
      <c r="B15" s="26" t="s">
        <v>87</v>
      </c>
      <c r="C15" s="25" t="s">
        <v>16</v>
      </c>
      <c r="D15" s="26" t="s">
        <v>11</v>
      </c>
      <c r="E15" s="27" t="s">
        <v>214</v>
      </c>
      <c r="F15" s="27" t="s">
        <v>215</v>
      </c>
      <c r="G15" s="28" t="n">
        <v>46300</v>
      </c>
    </row>
    <row r="16" customFormat="false" ht="25.5" hidden="false" customHeight="true" outlineLevel="0" collapsed="false">
      <c r="A16" s="25" t="s">
        <v>142</v>
      </c>
      <c r="B16" s="26" t="s">
        <v>91</v>
      </c>
      <c r="C16" s="25" t="s">
        <v>16</v>
      </c>
      <c r="D16" s="26" t="s">
        <v>36</v>
      </c>
      <c r="E16" s="27" t="s">
        <v>216</v>
      </c>
      <c r="F16" s="27" t="s">
        <v>217</v>
      </c>
      <c r="G16" s="28" t="n">
        <v>46300</v>
      </c>
    </row>
    <row r="17" customFormat="false" ht="25.5" hidden="false" customHeight="true" outlineLevel="0" collapsed="false">
      <c r="A17" s="25" t="s">
        <v>142</v>
      </c>
      <c r="B17" s="26" t="s">
        <v>94</v>
      </c>
      <c r="C17" s="25" t="s">
        <v>16</v>
      </c>
      <c r="D17" s="26" t="s">
        <v>36</v>
      </c>
      <c r="E17" s="27" t="s">
        <v>218</v>
      </c>
      <c r="F17" s="27" t="s">
        <v>219</v>
      </c>
      <c r="G17" s="28" t="n">
        <v>46300</v>
      </c>
    </row>
    <row r="18" customFormat="false" ht="15" hidden="false" customHeight="true" outlineLevel="0" collapsed="false">
      <c r="A18" s="21" t="s">
        <v>142</v>
      </c>
      <c r="B18" s="22" t="s">
        <v>220</v>
      </c>
      <c r="C18" s="21" t="s">
        <v>199</v>
      </c>
      <c r="D18" s="22" t="s">
        <v>200</v>
      </c>
      <c r="E18" s="23" t="s">
        <v>200</v>
      </c>
      <c r="F18" s="23" t="s">
        <v>200</v>
      </c>
      <c r="G18" s="24" t="n">
        <v>46300</v>
      </c>
    </row>
    <row r="19" customFormat="false" ht="15" hidden="false" customHeight="true" outlineLevel="0" collapsed="false">
      <c r="A19" s="21" t="s">
        <v>142</v>
      </c>
      <c r="B19" s="22" t="s">
        <v>221</v>
      </c>
      <c r="C19" s="21" t="s">
        <v>199</v>
      </c>
      <c r="D19" s="22" t="s">
        <v>200</v>
      </c>
      <c r="E19" s="23" t="s">
        <v>200</v>
      </c>
      <c r="F19" s="23" t="s">
        <v>200</v>
      </c>
      <c r="G19" s="24" t="n">
        <v>46300</v>
      </c>
    </row>
    <row r="20" customFormat="false" ht="15" hidden="false" customHeight="true" outlineLevel="0" collapsed="false">
      <c r="A20" s="21" t="s">
        <v>142</v>
      </c>
      <c r="B20" s="22" t="s">
        <v>222</v>
      </c>
      <c r="C20" s="21" t="s">
        <v>199</v>
      </c>
      <c r="D20" s="22" t="s">
        <v>200</v>
      </c>
      <c r="E20" s="23" t="s">
        <v>200</v>
      </c>
      <c r="F20" s="23" t="s">
        <v>200</v>
      </c>
      <c r="G20" s="24" t="n">
        <v>46300</v>
      </c>
    </row>
    <row r="21" customFormat="false" ht="15" hidden="false" customHeight="true" outlineLevel="0" collapsed="false">
      <c r="A21" s="21" t="s">
        <v>142</v>
      </c>
      <c r="B21" s="22" t="s">
        <v>223</v>
      </c>
      <c r="C21" s="21" t="s">
        <v>199</v>
      </c>
      <c r="D21" s="22" t="s">
        <v>200</v>
      </c>
      <c r="E21" s="23" t="s">
        <v>200</v>
      </c>
      <c r="F21" s="23" t="s">
        <v>200</v>
      </c>
      <c r="G21" s="24" t="n">
        <v>46300</v>
      </c>
    </row>
    <row r="22" customFormat="false" ht="25.5" hidden="false" customHeight="true" outlineLevel="0" collapsed="false">
      <c r="A22" s="25" t="s">
        <v>142</v>
      </c>
      <c r="B22" s="26" t="s">
        <v>97</v>
      </c>
      <c r="C22" s="25" t="s">
        <v>16</v>
      </c>
      <c r="D22" s="26" t="s">
        <v>40</v>
      </c>
      <c r="E22" s="27" t="s">
        <v>224</v>
      </c>
      <c r="F22" s="27" t="s">
        <v>225</v>
      </c>
      <c r="G22" s="28" t="n">
        <v>46300</v>
      </c>
    </row>
  </sheetData>
  <mergeCells count="4">
    <mergeCell ref="A1:G1"/>
    <mergeCell ref="A2:G2"/>
    <mergeCell ref="A3:G3"/>
    <mergeCell ref="A4:G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4" activeCellId="0" sqref="G2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2"/>
    <col collapsed="false" customWidth="true" hidden="false" outlineLevel="0" max="3" min="3" style="1" width="16"/>
    <col collapsed="false" customWidth="true" hidden="false" outlineLevel="0" max="4" min="4" style="1" width="22"/>
    <col collapsed="false" customWidth="true" hidden="false" outlineLevel="0" max="5" min="5" style="1" width="55"/>
    <col collapsed="false" customWidth="true" hidden="false" outlineLevel="0" max="6" min="6" style="1" width="50"/>
    <col collapsed="false" customWidth="true" hidden="false" outlineLevel="0" max="7" min="7" style="1" width="12"/>
  </cols>
  <sheetData>
    <row r="1" customFormat="false" ht="15.75" hidden="false" customHeight="true" outlineLevel="0" collapsed="false">
      <c r="A1" s="16" t="s">
        <v>226</v>
      </c>
      <c r="B1" s="16"/>
      <c r="C1" s="16"/>
      <c r="D1" s="16"/>
      <c r="E1" s="16"/>
      <c r="F1" s="16"/>
      <c r="G1" s="16"/>
    </row>
    <row r="2" customFormat="false" ht="15" hidden="false" customHeight="true" outlineLevel="0" collapsed="false">
      <c r="A2" s="17" t="s">
        <v>227</v>
      </c>
      <c r="B2" s="17"/>
      <c r="C2" s="17"/>
      <c r="D2" s="17"/>
      <c r="E2" s="17"/>
      <c r="F2" s="17"/>
      <c r="G2" s="17"/>
    </row>
    <row r="3" customFormat="false" ht="30" hidden="false" customHeight="true" outlineLevel="0" collapsed="false">
      <c r="A3" s="18" t="s">
        <v>228</v>
      </c>
      <c r="B3" s="18"/>
      <c r="C3" s="18"/>
      <c r="D3" s="18"/>
      <c r="E3" s="18"/>
      <c r="F3" s="18"/>
      <c r="G3" s="18"/>
    </row>
    <row r="4" customFormat="false" ht="15" hidden="false" customHeight="true" outlineLevel="0" collapsed="false">
      <c r="A4" s="19" t="s">
        <v>192</v>
      </c>
      <c r="B4" s="19"/>
      <c r="C4" s="19"/>
      <c r="D4" s="19"/>
      <c r="E4" s="19"/>
      <c r="F4" s="19"/>
      <c r="G4" s="19"/>
    </row>
    <row r="6" customFormat="false" ht="25.5" hidden="false" customHeight="true" outlineLevel="0" collapsed="false">
      <c r="A6" s="20" t="s">
        <v>120</v>
      </c>
      <c r="B6" s="20" t="s">
        <v>193</v>
      </c>
      <c r="C6" s="20" t="s">
        <v>194</v>
      </c>
      <c r="D6" s="20" t="s">
        <v>151</v>
      </c>
      <c r="E6" s="20" t="s">
        <v>195</v>
      </c>
      <c r="F6" s="20" t="s">
        <v>6</v>
      </c>
      <c r="G6" s="20" t="s">
        <v>196</v>
      </c>
    </row>
    <row r="7" customFormat="false" ht="15" hidden="false" customHeight="true" outlineLevel="0" collapsed="false">
      <c r="A7" s="21" t="s">
        <v>138</v>
      </c>
      <c r="B7" s="22" t="s">
        <v>229</v>
      </c>
      <c r="C7" s="21" t="s">
        <v>199</v>
      </c>
      <c r="D7" s="22" t="s">
        <v>200</v>
      </c>
      <c r="E7" s="23" t="s">
        <v>200</v>
      </c>
      <c r="F7" s="23" t="s">
        <v>200</v>
      </c>
      <c r="G7" s="24" t="n">
        <v>46299</v>
      </c>
    </row>
    <row r="8" customFormat="false" ht="25.5" hidden="false" customHeight="true" outlineLevel="0" collapsed="false">
      <c r="A8" s="25" t="s">
        <v>138</v>
      </c>
      <c r="B8" s="26" t="s">
        <v>65</v>
      </c>
      <c r="C8" s="25" t="s">
        <v>16</v>
      </c>
      <c r="D8" s="26" t="s">
        <v>36</v>
      </c>
      <c r="E8" s="27" t="s">
        <v>230</v>
      </c>
      <c r="F8" s="27" t="s">
        <v>231</v>
      </c>
      <c r="G8" s="28" t="n">
        <v>46299</v>
      </c>
    </row>
    <row r="9" customFormat="false" ht="15" hidden="false" customHeight="true" outlineLevel="0" collapsed="false">
      <c r="A9" s="21" t="s">
        <v>138</v>
      </c>
      <c r="B9" s="22" t="s">
        <v>232</v>
      </c>
      <c r="C9" s="21" t="s">
        <v>199</v>
      </c>
      <c r="D9" s="22" t="s">
        <v>200</v>
      </c>
      <c r="E9" s="23" t="s">
        <v>200</v>
      </c>
      <c r="F9" s="23" t="s">
        <v>200</v>
      </c>
      <c r="G9" s="24" t="n">
        <v>46299</v>
      </c>
    </row>
    <row r="10" customFormat="false" ht="25.5" hidden="false" customHeight="true" outlineLevel="0" collapsed="false">
      <c r="A10" s="25" t="s">
        <v>138</v>
      </c>
      <c r="B10" s="26" t="s">
        <v>68</v>
      </c>
      <c r="C10" s="25" t="s">
        <v>16</v>
      </c>
      <c r="D10" s="26" t="s">
        <v>18</v>
      </c>
      <c r="E10" s="27" t="s">
        <v>233</v>
      </c>
      <c r="F10" s="27" t="s">
        <v>234</v>
      </c>
      <c r="G10" s="28" t="n">
        <v>46299</v>
      </c>
    </row>
    <row r="11" customFormat="false" ht="23.25" hidden="false" customHeight="true" outlineLevel="0" collapsed="false">
      <c r="A11" s="25" t="s">
        <v>138</v>
      </c>
      <c r="B11" s="26" t="s">
        <v>31</v>
      </c>
      <c r="C11" s="25" t="s">
        <v>16</v>
      </c>
      <c r="D11" s="26" t="s">
        <v>18</v>
      </c>
      <c r="E11" s="27" t="s">
        <v>235</v>
      </c>
      <c r="F11" s="27" t="s">
        <v>236</v>
      </c>
      <c r="G11" s="28" t="n">
        <v>46299</v>
      </c>
    </row>
    <row r="12" customFormat="false" ht="25.5" hidden="false" customHeight="true" outlineLevel="0" collapsed="false">
      <c r="A12" s="25" t="s">
        <v>138</v>
      </c>
      <c r="B12" s="26" t="s">
        <v>71</v>
      </c>
      <c r="C12" s="25" t="s">
        <v>16</v>
      </c>
      <c r="D12" s="26" t="s">
        <v>28</v>
      </c>
      <c r="E12" s="27" t="s">
        <v>237</v>
      </c>
      <c r="F12" s="27" t="s">
        <v>238</v>
      </c>
      <c r="G12" s="28" t="n">
        <v>46299</v>
      </c>
    </row>
    <row r="13" customFormat="false" ht="38.25" hidden="false" customHeight="true" outlineLevel="0" collapsed="false">
      <c r="A13" s="25" t="s">
        <v>138</v>
      </c>
      <c r="B13" s="26" t="s">
        <v>74</v>
      </c>
      <c r="C13" s="25" t="s">
        <v>16</v>
      </c>
      <c r="D13" s="26" t="s">
        <v>40</v>
      </c>
      <c r="E13" s="27" t="s">
        <v>239</v>
      </c>
      <c r="F13" s="27" t="s">
        <v>240</v>
      </c>
      <c r="G13" s="28" t="n">
        <v>46299</v>
      </c>
    </row>
    <row r="14" customFormat="false" ht="38.25" hidden="false" customHeight="true" outlineLevel="0" collapsed="false">
      <c r="A14" s="25" t="s">
        <v>138</v>
      </c>
      <c r="B14" s="26" t="s">
        <v>78</v>
      </c>
      <c r="C14" s="25" t="s">
        <v>16</v>
      </c>
      <c r="D14" s="26" t="s">
        <v>18</v>
      </c>
      <c r="E14" s="27" t="s">
        <v>241</v>
      </c>
      <c r="F14" s="27" t="s">
        <v>242</v>
      </c>
      <c r="G14" s="28" t="n">
        <v>46299</v>
      </c>
    </row>
    <row r="15" customFormat="false" ht="25.5" hidden="false" customHeight="true" outlineLevel="0" collapsed="false">
      <c r="A15" s="25" t="s">
        <v>138</v>
      </c>
      <c r="B15" s="26" t="s">
        <v>243</v>
      </c>
      <c r="C15" s="25" t="s">
        <v>16</v>
      </c>
      <c r="D15" s="26" t="s">
        <v>40</v>
      </c>
      <c r="E15" s="27" t="s">
        <v>244</v>
      </c>
      <c r="F15" s="27" t="s">
        <v>245</v>
      </c>
      <c r="G15" s="28" t="n">
        <v>46299</v>
      </c>
    </row>
    <row r="16" customFormat="false" ht="38.25" hidden="false" customHeight="true" outlineLevel="0" collapsed="false">
      <c r="A16" s="25" t="s">
        <v>138</v>
      </c>
      <c r="B16" s="26" t="s">
        <v>84</v>
      </c>
      <c r="C16" s="25" t="s">
        <v>16</v>
      </c>
      <c r="D16" s="26" t="s">
        <v>56</v>
      </c>
      <c r="E16" s="27" t="s">
        <v>246</v>
      </c>
      <c r="F16" s="27" t="s">
        <v>247</v>
      </c>
      <c r="G16" s="28" t="n">
        <v>46299</v>
      </c>
    </row>
    <row r="17" customFormat="false" ht="25.5" hidden="false" customHeight="true" outlineLevel="0" collapsed="false">
      <c r="A17" s="25" t="s">
        <v>145</v>
      </c>
      <c r="B17" s="26" t="s">
        <v>100</v>
      </c>
      <c r="C17" s="25" t="s">
        <v>16</v>
      </c>
      <c r="D17" s="26" t="s">
        <v>56</v>
      </c>
      <c r="E17" s="27" t="s">
        <v>248</v>
      </c>
      <c r="F17" s="27" t="s">
        <v>249</v>
      </c>
      <c r="G17" s="28" t="n">
        <v>46300</v>
      </c>
    </row>
    <row r="18" customFormat="false" ht="25.5" hidden="false" customHeight="true" outlineLevel="0" collapsed="false">
      <c r="A18" s="25" t="s">
        <v>145</v>
      </c>
      <c r="B18" s="26" t="s">
        <v>104</v>
      </c>
      <c r="C18" s="25" t="s">
        <v>16</v>
      </c>
      <c r="D18" s="26" t="s">
        <v>28</v>
      </c>
      <c r="E18" s="27" t="s">
        <v>250</v>
      </c>
      <c r="F18" s="27" t="s">
        <v>251</v>
      </c>
      <c r="G18" s="28" t="n">
        <v>46300</v>
      </c>
    </row>
    <row r="19" customFormat="false" ht="25.5" hidden="false" customHeight="true" outlineLevel="0" collapsed="false">
      <c r="A19" s="25" t="s">
        <v>145</v>
      </c>
      <c r="B19" s="26" t="s">
        <v>107</v>
      </c>
      <c r="C19" s="25" t="s">
        <v>16</v>
      </c>
      <c r="D19" s="26" t="s">
        <v>56</v>
      </c>
      <c r="E19" s="27" t="s">
        <v>252</v>
      </c>
      <c r="F19" s="27" t="s">
        <v>253</v>
      </c>
      <c r="G19" s="28" t="n">
        <v>46300</v>
      </c>
    </row>
    <row r="20" customFormat="false" ht="15" hidden="false" customHeight="true" outlineLevel="0" collapsed="false">
      <c r="A20" s="21" t="s">
        <v>145</v>
      </c>
      <c r="B20" s="22" t="s">
        <v>254</v>
      </c>
      <c r="C20" s="21" t="s">
        <v>199</v>
      </c>
      <c r="D20" s="22" t="s">
        <v>200</v>
      </c>
      <c r="E20" s="23" t="s">
        <v>200</v>
      </c>
      <c r="F20" s="23" t="s">
        <v>200</v>
      </c>
      <c r="G20" s="24" t="n">
        <v>46300</v>
      </c>
    </row>
    <row r="21" customFormat="false" ht="25.5" hidden="false" customHeight="true" outlineLevel="0" collapsed="false">
      <c r="A21" s="25" t="s">
        <v>145</v>
      </c>
      <c r="B21" s="26" t="s">
        <v>110</v>
      </c>
      <c r="C21" s="25" t="s">
        <v>16</v>
      </c>
      <c r="D21" s="26" t="s">
        <v>28</v>
      </c>
      <c r="E21" s="27" t="s">
        <v>255</v>
      </c>
      <c r="F21" s="27" t="s">
        <v>256</v>
      </c>
      <c r="G21" s="28" t="n">
        <v>46300</v>
      </c>
    </row>
    <row r="22" customFormat="false" ht="25.5" hidden="false" customHeight="true" outlineLevel="0" collapsed="false">
      <c r="A22" s="25" t="s">
        <v>145</v>
      </c>
      <c r="B22" s="26" t="s">
        <v>113</v>
      </c>
      <c r="C22" s="25" t="s">
        <v>16</v>
      </c>
      <c r="D22" s="26" t="s">
        <v>11</v>
      </c>
      <c r="E22" s="27" t="s">
        <v>257</v>
      </c>
      <c r="F22" s="27" t="s">
        <v>258</v>
      </c>
      <c r="G22" s="28" t="n">
        <v>46300</v>
      </c>
    </row>
    <row r="23" customFormat="false" ht="15" hidden="false" customHeight="true" outlineLevel="0" collapsed="false">
      <c r="A23" s="21" t="s">
        <v>145</v>
      </c>
      <c r="B23" s="22" t="s">
        <v>259</v>
      </c>
      <c r="C23" s="21" t="s">
        <v>199</v>
      </c>
      <c r="D23" s="22" t="s">
        <v>200</v>
      </c>
      <c r="E23" s="23" t="s">
        <v>200</v>
      </c>
      <c r="F23" s="23" t="s">
        <v>200</v>
      </c>
      <c r="G23" s="24" t="n">
        <v>46300</v>
      </c>
    </row>
    <row r="24" customFormat="false" ht="25.5" hidden="false" customHeight="true" outlineLevel="0" collapsed="false">
      <c r="A24" s="25" t="s">
        <v>145</v>
      </c>
      <c r="B24" s="26" t="s">
        <v>116</v>
      </c>
      <c r="C24" s="25" t="s">
        <v>16</v>
      </c>
      <c r="D24" s="26" t="s">
        <v>11</v>
      </c>
      <c r="E24" s="27" t="s">
        <v>260</v>
      </c>
      <c r="F24" s="27" t="s">
        <v>261</v>
      </c>
      <c r="G24" s="28" t="n">
        <v>46300</v>
      </c>
    </row>
  </sheetData>
  <mergeCells count="4">
    <mergeCell ref="A1:G1"/>
    <mergeCell ref="A2:G2"/>
    <mergeCell ref="A3:G3"/>
    <mergeCell ref="A4:G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22" activeCellId="0" sqref="I22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2"/>
    <col collapsed="false" customWidth="true" hidden="false" outlineLevel="0" max="3" min="3" style="1" width="16"/>
    <col collapsed="false" customWidth="true" hidden="false" outlineLevel="0" max="4" min="4" style="1" width="22"/>
    <col collapsed="false" customWidth="true" hidden="false" outlineLevel="0" max="5" min="5" style="1" width="55"/>
    <col collapsed="false" customWidth="true" hidden="false" outlineLevel="0" max="6" min="6" style="1" width="50"/>
    <col collapsed="false" customWidth="true" hidden="false" outlineLevel="0" max="7" min="7" style="1" width="12"/>
  </cols>
  <sheetData>
    <row r="1" customFormat="false" ht="15.75" hidden="false" customHeight="true" outlineLevel="0" collapsed="false">
      <c r="A1" s="16" t="s">
        <v>262</v>
      </c>
      <c r="B1" s="16"/>
      <c r="C1" s="16"/>
      <c r="D1" s="16"/>
      <c r="E1" s="16"/>
      <c r="F1" s="16"/>
      <c r="G1" s="16"/>
    </row>
    <row r="2" customFormat="false" ht="15" hidden="false" customHeight="true" outlineLevel="0" collapsed="false">
      <c r="A2" s="17" t="s">
        <v>263</v>
      </c>
      <c r="B2" s="17"/>
      <c r="C2" s="17"/>
      <c r="D2" s="17"/>
      <c r="E2" s="17"/>
      <c r="F2" s="17"/>
      <c r="G2" s="17"/>
    </row>
    <row r="3" customFormat="false" ht="30" hidden="false" customHeight="true" outlineLevel="0" collapsed="false">
      <c r="A3" s="18" t="s">
        <v>264</v>
      </c>
      <c r="B3" s="18"/>
      <c r="C3" s="18"/>
      <c r="D3" s="18"/>
      <c r="E3" s="18"/>
      <c r="F3" s="18"/>
      <c r="G3" s="18"/>
    </row>
    <row r="4" customFormat="false" ht="15" hidden="false" customHeight="true" outlineLevel="0" collapsed="false">
      <c r="A4" s="19" t="s">
        <v>192</v>
      </c>
      <c r="B4" s="19"/>
      <c r="C4" s="19"/>
      <c r="D4" s="19"/>
      <c r="E4" s="19"/>
      <c r="F4" s="19"/>
      <c r="G4" s="19"/>
    </row>
    <row r="6" customFormat="false" ht="25.5" hidden="false" customHeight="true" outlineLevel="0" collapsed="false">
      <c r="A6" s="20" t="s">
        <v>120</v>
      </c>
      <c r="B6" s="20" t="s">
        <v>193</v>
      </c>
      <c r="C6" s="20" t="s">
        <v>194</v>
      </c>
      <c r="D6" s="20" t="s">
        <v>151</v>
      </c>
      <c r="E6" s="20" t="s">
        <v>195</v>
      </c>
      <c r="F6" s="20" t="s">
        <v>6</v>
      </c>
      <c r="G6" s="20" t="s">
        <v>196</v>
      </c>
    </row>
    <row r="7" customFormat="false" ht="25.5" hidden="false" customHeight="true" outlineLevel="0" collapsed="false">
      <c r="A7" s="25" t="s">
        <v>133</v>
      </c>
      <c r="B7" s="26" t="s">
        <v>10</v>
      </c>
      <c r="C7" s="25" t="s">
        <v>16</v>
      </c>
      <c r="D7" s="26" t="s">
        <v>11</v>
      </c>
      <c r="E7" s="27" t="s">
        <v>265</v>
      </c>
      <c r="F7" s="27" t="s">
        <v>266</v>
      </c>
      <c r="G7" s="28" t="n">
        <v>46299</v>
      </c>
    </row>
    <row r="8" customFormat="false" ht="15" hidden="false" customHeight="true" outlineLevel="0" collapsed="false">
      <c r="A8" s="21" t="s">
        <v>133</v>
      </c>
      <c r="B8" s="22" t="s">
        <v>17</v>
      </c>
      <c r="C8" s="21" t="s">
        <v>199</v>
      </c>
      <c r="D8" s="22" t="s">
        <v>200</v>
      </c>
      <c r="E8" s="23" t="s">
        <v>200</v>
      </c>
      <c r="F8" s="23" t="s">
        <v>200</v>
      </c>
      <c r="G8" s="24" t="n">
        <v>46299</v>
      </c>
    </row>
    <row r="9" customFormat="false" ht="25.5" hidden="false" customHeight="true" outlineLevel="0" collapsed="false">
      <c r="A9" s="25" t="s">
        <v>133</v>
      </c>
      <c r="B9" s="26" t="s">
        <v>23</v>
      </c>
      <c r="C9" s="25" t="s">
        <v>16</v>
      </c>
      <c r="D9" s="26" t="s">
        <v>11</v>
      </c>
      <c r="E9" s="27" t="s">
        <v>267</v>
      </c>
      <c r="F9" s="27" t="s">
        <v>268</v>
      </c>
      <c r="G9" s="28" t="n">
        <v>46299</v>
      </c>
    </row>
    <row r="10" customFormat="false" ht="25.5" hidden="false" customHeight="true" outlineLevel="0" collapsed="false">
      <c r="A10" s="25" t="s">
        <v>133</v>
      </c>
      <c r="B10" s="26" t="s">
        <v>27</v>
      </c>
      <c r="C10" s="25" t="s">
        <v>16</v>
      </c>
      <c r="D10" s="26" t="s">
        <v>28</v>
      </c>
      <c r="E10" s="27" t="s">
        <v>269</v>
      </c>
      <c r="F10" s="27" t="s">
        <v>270</v>
      </c>
      <c r="G10" s="28" t="n">
        <v>46299</v>
      </c>
    </row>
    <row r="11" customFormat="false" ht="15" hidden="false" customHeight="true" outlineLevel="0" collapsed="false">
      <c r="A11" s="21" t="s">
        <v>133</v>
      </c>
      <c r="B11" s="22" t="s">
        <v>271</v>
      </c>
      <c r="C11" s="21" t="s">
        <v>199</v>
      </c>
      <c r="D11" s="22" t="s">
        <v>200</v>
      </c>
      <c r="E11" s="23" t="s">
        <v>200</v>
      </c>
      <c r="F11" s="23" t="s">
        <v>200</v>
      </c>
      <c r="G11" s="24" t="n">
        <v>46299</v>
      </c>
    </row>
    <row r="12" customFormat="false" ht="38.25" hidden="false" customHeight="true" outlineLevel="0" collapsed="false">
      <c r="A12" s="25" t="s">
        <v>133</v>
      </c>
      <c r="B12" s="26" t="s">
        <v>35</v>
      </c>
      <c r="C12" s="25" t="s">
        <v>16</v>
      </c>
      <c r="D12" s="26" t="s">
        <v>36</v>
      </c>
      <c r="E12" s="27" t="s">
        <v>272</v>
      </c>
      <c r="F12" s="27" t="s">
        <v>273</v>
      </c>
      <c r="G12" s="28" t="n">
        <v>46299</v>
      </c>
    </row>
    <row r="13" customFormat="false" ht="15" hidden="false" customHeight="true" outlineLevel="0" collapsed="false">
      <c r="A13" s="21" t="s">
        <v>133</v>
      </c>
      <c r="B13" s="22" t="s">
        <v>274</v>
      </c>
      <c r="C13" s="21" t="s">
        <v>199</v>
      </c>
      <c r="D13" s="22" t="s">
        <v>200</v>
      </c>
      <c r="E13" s="23" t="s">
        <v>200</v>
      </c>
      <c r="F13" s="23" t="s">
        <v>200</v>
      </c>
      <c r="G13" s="24" t="n">
        <v>46299</v>
      </c>
    </row>
    <row r="14" customFormat="false" ht="15" hidden="false" customHeight="true" outlineLevel="0" collapsed="false">
      <c r="A14" s="25" t="s">
        <v>133</v>
      </c>
      <c r="B14" s="26" t="s">
        <v>275</v>
      </c>
      <c r="C14" s="25" t="s">
        <v>16</v>
      </c>
      <c r="D14" s="26" t="s">
        <v>40</v>
      </c>
      <c r="E14" s="27" t="s">
        <v>276</v>
      </c>
      <c r="F14" s="27" t="s">
        <v>277</v>
      </c>
      <c r="G14" s="28" t="n">
        <v>46299</v>
      </c>
    </row>
    <row r="15" customFormat="false" ht="15" hidden="false" customHeight="true" outlineLevel="0" collapsed="false">
      <c r="A15" s="25" t="s">
        <v>133</v>
      </c>
      <c r="B15" s="26" t="s">
        <v>278</v>
      </c>
      <c r="C15" s="25" t="s">
        <v>16</v>
      </c>
      <c r="D15" s="26" t="s">
        <v>40</v>
      </c>
      <c r="E15" s="27" t="s">
        <v>279</v>
      </c>
      <c r="F15" s="27" t="s">
        <v>280</v>
      </c>
      <c r="G15" s="28" t="n">
        <v>46299</v>
      </c>
    </row>
    <row r="16" customFormat="false" ht="38.25" hidden="false" customHeight="true" outlineLevel="0" collapsed="false">
      <c r="A16" s="25" t="s">
        <v>133</v>
      </c>
      <c r="B16" s="26" t="s">
        <v>43</v>
      </c>
      <c r="C16" s="25" t="s">
        <v>16</v>
      </c>
      <c r="D16" s="26" t="s">
        <v>11</v>
      </c>
      <c r="E16" s="27" t="s">
        <v>281</v>
      </c>
      <c r="F16" s="27" t="s">
        <v>282</v>
      </c>
      <c r="G16" s="28" t="n">
        <v>46299</v>
      </c>
    </row>
    <row r="17" customFormat="false" ht="25.5" hidden="false" customHeight="true" outlineLevel="0" collapsed="false">
      <c r="A17" s="25" t="s">
        <v>133</v>
      </c>
      <c r="B17" s="26" t="s">
        <v>46</v>
      </c>
      <c r="C17" s="25" t="s">
        <v>16</v>
      </c>
      <c r="D17" s="26" t="s">
        <v>36</v>
      </c>
      <c r="E17" s="27" t="s">
        <v>283</v>
      </c>
      <c r="F17" s="27" t="s">
        <v>284</v>
      </c>
      <c r="G17" s="28" t="n">
        <v>46299</v>
      </c>
    </row>
    <row r="18" customFormat="false" ht="25.5" hidden="false" customHeight="true" outlineLevel="0" collapsed="false">
      <c r="A18" s="25" t="s">
        <v>133</v>
      </c>
      <c r="B18" s="26" t="s">
        <v>49</v>
      </c>
      <c r="C18" s="25" t="s">
        <v>16</v>
      </c>
      <c r="D18" s="26" t="s">
        <v>18</v>
      </c>
      <c r="E18" s="27" t="s">
        <v>285</v>
      </c>
      <c r="F18" s="27" t="s">
        <v>286</v>
      </c>
      <c r="G18" s="28" t="n">
        <v>46299</v>
      </c>
    </row>
    <row r="19" customFormat="false" ht="38.25" hidden="false" customHeight="true" outlineLevel="0" collapsed="false">
      <c r="A19" s="25" t="s">
        <v>133</v>
      </c>
      <c r="B19" s="26" t="s">
        <v>287</v>
      </c>
      <c r="C19" s="25" t="s">
        <v>16</v>
      </c>
      <c r="D19" s="26" t="s">
        <v>11</v>
      </c>
      <c r="E19" s="27" t="s">
        <v>288</v>
      </c>
      <c r="F19" s="27" t="s">
        <v>289</v>
      </c>
      <c r="G19" s="28" t="n">
        <v>46299</v>
      </c>
    </row>
    <row r="20" customFormat="false" ht="25.5" hidden="false" customHeight="true" outlineLevel="0" collapsed="false">
      <c r="A20" s="25" t="s">
        <v>133</v>
      </c>
      <c r="B20" s="26" t="s">
        <v>55</v>
      </c>
      <c r="C20" s="25" t="s">
        <v>16</v>
      </c>
      <c r="D20" s="26" t="s">
        <v>56</v>
      </c>
      <c r="E20" s="27" t="s">
        <v>290</v>
      </c>
      <c r="F20" s="27" t="s">
        <v>291</v>
      </c>
      <c r="G20" s="28" t="n">
        <v>46299</v>
      </c>
    </row>
    <row r="21" customFormat="false" ht="38.25" hidden="false" customHeight="true" outlineLevel="0" collapsed="false">
      <c r="A21" s="25" t="s">
        <v>133</v>
      </c>
      <c r="B21" s="26" t="s">
        <v>62</v>
      </c>
      <c r="C21" s="25" t="s">
        <v>16</v>
      </c>
      <c r="D21" s="26" t="s">
        <v>18</v>
      </c>
      <c r="E21" s="27" t="s">
        <v>292</v>
      </c>
      <c r="F21" s="27" t="s">
        <v>293</v>
      </c>
      <c r="G21" s="28" t="n">
        <v>46299</v>
      </c>
    </row>
    <row r="22" customFormat="false" ht="25.5" hidden="false" customHeight="true" outlineLevel="0" collapsed="false">
      <c r="A22" s="25" t="s">
        <v>142</v>
      </c>
      <c r="B22" s="26" t="s">
        <v>87</v>
      </c>
      <c r="C22" s="25" t="s">
        <v>16</v>
      </c>
      <c r="D22" s="26" t="s">
        <v>11</v>
      </c>
      <c r="E22" s="27" t="s">
        <v>294</v>
      </c>
      <c r="F22" s="27" t="s">
        <v>215</v>
      </c>
      <c r="G22" s="28" t="n">
        <v>46300</v>
      </c>
    </row>
    <row r="23" customFormat="false" ht="25.5" hidden="false" customHeight="true" outlineLevel="0" collapsed="false">
      <c r="A23" s="21" t="s">
        <v>142</v>
      </c>
      <c r="B23" s="22" t="s">
        <v>91</v>
      </c>
      <c r="C23" s="21" t="s">
        <v>199</v>
      </c>
      <c r="D23" s="22" t="s">
        <v>200</v>
      </c>
      <c r="E23" s="23" t="s">
        <v>295</v>
      </c>
      <c r="F23" s="23" t="s">
        <v>200</v>
      </c>
      <c r="G23" s="24" t="n">
        <v>46300</v>
      </c>
    </row>
    <row r="24" customFormat="false" ht="25.5" hidden="false" customHeight="true" outlineLevel="0" collapsed="false">
      <c r="A24" s="25" t="s">
        <v>142</v>
      </c>
      <c r="B24" s="26" t="s">
        <v>94</v>
      </c>
      <c r="C24" s="25" t="s">
        <v>16</v>
      </c>
      <c r="D24" s="26" t="s">
        <v>36</v>
      </c>
      <c r="E24" s="27" t="s">
        <v>296</v>
      </c>
      <c r="F24" s="27" t="s">
        <v>219</v>
      </c>
      <c r="G24" s="28" t="n">
        <v>46300</v>
      </c>
    </row>
    <row r="25" customFormat="false" ht="15" hidden="false" customHeight="true" outlineLevel="0" collapsed="false">
      <c r="A25" s="21" t="s">
        <v>142</v>
      </c>
      <c r="B25" s="22" t="s">
        <v>220</v>
      </c>
      <c r="C25" s="21" t="s">
        <v>199</v>
      </c>
      <c r="D25" s="22" t="s">
        <v>200</v>
      </c>
      <c r="E25" s="23" t="s">
        <v>200</v>
      </c>
      <c r="F25" s="23" t="s">
        <v>200</v>
      </c>
      <c r="G25" s="24" t="n">
        <v>46300</v>
      </c>
    </row>
    <row r="26" customFormat="false" ht="15" hidden="false" customHeight="true" outlineLevel="0" collapsed="false">
      <c r="A26" s="21" t="s">
        <v>142</v>
      </c>
      <c r="B26" s="22" t="s">
        <v>221</v>
      </c>
      <c r="C26" s="21" t="s">
        <v>199</v>
      </c>
      <c r="D26" s="22" t="s">
        <v>200</v>
      </c>
      <c r="E26" s="23" t="s">
        <v>200</v>
      </c>
      <c r="F26" s="23" t="s">
        <v>200</v>
      </c>
      <c r="G26" s="24" t="n">
        <v>46300</v>
      </c>
    </row>
    <row r="27" customFormat="false" ht="15" hidden="false" customHeight="true" outlineLevel="0" collapsed="false">
      <c r="A27" s="21" t="s">
        <v>142</v>
      </c>
      <c r="B27" s="22" t="s">
        <v>222</v>
      </c>
      <c r="C27" s="21" t="s">
        <v>199</v>
      </c>
      <c r="D27" s="22" t="s">
        <v>200</v>
      </c>
      <c r="E27" s="23" t="s">
        <v>200</v>
      </c>
      <c r="F27" s="23" t="s">
        <v>200</v>
      </c>
      <c r="G27" s="24" t="n">
        <v>46300</v>
      </c>
    </row>
    <row r="28" customFormat="false" ht="15" hidden="false" customHeight="true" outlineLevel="0" collapsed="false">
      <c r="A28" s="21" t="s">
        <v>142</v>
      </c>
      <c r="B28" s="22" t="s">
        <v>223</v>
      </c>
      <c r="C28" s="21" t="s">
        <v>199</v>
      </c>
      <c r="D28" s="22" t="s">
        <v>200</v>
      </c>
      <c r="E28" s="23" t="s">
        <v>200</v>
      </c>
      <c r="F28" s="23" t="s">
        <v>200</v>
      </c>
      <c r="G28" s="24" t="n">
        <v>46300</v>
      </c>
    </row>
    <row r="29" customFormat="false" ht="15" hidden="false" customHeight="true" outlineLevel="0" collapsed="false">
      <c r="A29" s="25" t="s">
        <v>142</v>
      </c>
      <c r="B29" s="26" t="s">
        <v>97</v>
      </c>
      <c r="C29" s="25" t="s">
        <v>16</v>
      </c>
      <c r="D29" s="26" t="s">
        <v>40</v>
      </c>
      <c r="E29" s="27" t="s">
        <v>297</v>
      </c>
      <c r="F29" s="27" t="s">
        <v>298</v>
      </c>
      <c r="G29" s="28" t="n">
        <v>46300</v>
      </c>
    </row>
  </sheetData>
  <mergeCells count="4">
    <mergeCell ref="A1:G1"/>
    <mergeCell ref="A2:G2"/>
    <mergeCell ref="A3:G3"/>
    <mergeCell ref="A4:G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0" activeCellId="0" sqref="J10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2"/>
    <col collapsed="false" customWidth="true" hidden="false" outlineLevel="0" max="3" min="3" style="1" width="16"/>
    <col collapsed="false" customWidth="true" hidden="false" outlineLevel="0" max="4" min="4" style="1" width="22"/>
    <col collapsed="false" customWidth="true" hidden="false" outlineLevel="0" max="5" min="5" style="1" width="55"/>
    <col collapsed="false" customWidth="true" hidden="false" outlineLevel="0" max="6" min="6" style="1" width="50"/>
    <col collapsed="false" customWidth="true" hidden="false" outlineLevel="0" max="7" min="7" style="1" width="12"/>
  </cols>
  <sheetData>
    <row r="1" customFormat="false" ht="15.75" hidden="false" customHeight="true" outlineLevel="0" collapsed="false">
      <c r="A1" s="16" t="s">
        <v>299</v>
      </c>
      <c r="B1" s="16"/>
      <c r="C1" s="16"/>
      <c r="D1" s="16"/>
      <c r="E1" s="16"/>
      <c r="F1" s="16"/>
      <c r="G1" s="16"/>
    </row>
    <row r="2" customFormat="false" ht="15" hidden="false" customHeight="true" outlineLevel="0" collapsed="false">
      <c r="A2" s="17" t="s">
        <v>300</v>
      </c>
      <c r="B2" s="17"/>
      <c r="C2" s="17"/>
      <c r="D2" s="17"/>
      <c r="E2" s="17"/>
      <c r="F2" s="17"/>
      <c r="G2" s="17"/>
    </row>
    <row r="3" customFormat="false" ht="30" hidden="false" customHeight="true" outlineLevel="0" collapsed="false">
      <c r="A3" s="18" t="s">
        <v>301</v>
      </c>
      <c r="B3" s="18"/>
      <c r="C3" s="18"/>
      <c r="D3" s="18"/>
      <c r="E3" s="18"/>
      <c r="F3" s="18"/>
      <c r="G3" s="18"/>
    </row>
    <row r="4" customFormat="false" ht="15" hidden="false" customHeight="true" outlineLevel="0" collapsed="false">
      <c r="A4" s="19" t="s">
        <v>192</v>
      </c>
      <c r="B4" s="19"/>
      <c r="C4" s="19"/>
      <c r="D4" s="19"/>
      <c r="E4" s="19"/>
      <c r="F4" s="19"/>
      <c r="G4" s="19"/>
    </row>
    <row r="6" customFormat="false" ht="25.5" hidden="false" customHeight="true" outlineLevel="0" collapsed="false">
      <c r="A6" s="20" t="s">
        <v>120</v>
      </c>
      <c r="B6" s="20" t="s">
        <v>193</v>
      </c>
      <c r="C6" s="20" t="s">
        <v>194</v>
      </c>
      <c r="D6" s="20" t="s">
        <v>151</v>
      </c>
      <c r="E6" s="20" t="s">
        <v>195</v>
      </c>
      <c r="F6" s="20" t="s">
        <v>6</v>
      </c>
      <c r="G6" s="20" t="s">
        <v>196</v>
      </c>
    </row>
    <row r="7" customFormat="false" ht="23.25" hidden="false" customHeight="true" outlineLevel="0" collapsed="false">
      <c r="A7" s="25" t="s">
        <v>133</v>
      </c>
      <c r="B7" s="26" t="s">
        <v>10</v>
      </c>
      <c r="C7" s="25" t="s">
        <v>16</v>
      </c>
      <c r="D7" s="26" t="s">
        <v>11</v>
      </c>
      <c r="E7" s="27" t="s">
        <v>265</v>
      </c>
      <c r="F7" s="27" t="s">
        <v>302</v>
      </c>
      <c r="G7" s="28" t="n">
        <v>46299</v>
      </c>
    </row>
    <row r="8" customFormat="false" ht="51" hidden="false" customHeight="true" outlineLevel="0" collapsed="false">
      <c r="A8" s="25" t="s">
        <v>133</v>
      </c>
      <c r="B8" s="26" t="s">
        <v>17</v>
      </c>
      <c r="C8" s="25" t="s">
        <v>16</v>
      </c>
      <c r="D8" s="26" t="s">
        <v>18</v>
      </c>
      <c r="E8" s="27" t="s">
        <v>303</v>
      </c>
      <c r="F8" s="27" t="s">
        <v>304</v>
      </c>
      <c r="G8" s="28" t="n">
        <v>46299</v>
      </c>
    </row>
    <row r="9" customFormat="false" ht="25.5" hidden="false" customHeight="true" outlineLevel="0" collapsed="false">
      <c r="A9" s="21" t="s">
        <v>133</v>
      </c>
      <c r="B9" s="22" t="s">
        <v>23</v>
      </c>
      <c r="C9" s="21" t="s">
        <v>199</v>
      </c>
      <c r="D9" s="22" t="s">
        <v>200</v>
      </c>
      <c r="E9" s="23" t="s">
        <v>305</v>
      </c>
      <c r="F9" s="23" t="s">
        <v>200</v>
      </c>
      <c r="G9" s="24" t="n">
        <v>46299</v>
      </c>
    </row>
    <row r="10" customFormat="false" ht="15" hidden="false" customHeight="true" outlineLevel="0" collapsed="false">
      <c r="A10" s="25" t="s">
        <v>133</v>
      </c>
      <c r="B10" s="26" t="s">
        <v>27</v>
      </c>
      <c r="C10" s="25" t="s">
        <v>16</v>
      </c>
      <c r="D10" s="26" t="s">
        <v>28</v>
      </c>
      <c r="E10" s="27" t="s">
        <v>306</v>
      </c>
      <c r="F10" s="27" t="s">
        <v>307</v>
      </c>
      <c r="G10" s="28" t="n">
        <v>46299</v>
      </c>
    </row>
    <row r="11" customFormat="false" ht="15" hidden="false" customHeight="true" outlineLevel="0" collapsed="false">
      <c r="A11" s="21" t="s">
        <v>133</v>
      </c>
      <c r="B11" s="22" t="s">
        <v>271</v>
      </c>
      <c r="C11" s="21" t="s">
        <v>199</v>
      </c>
      <c r="D11" s="22" t="s">
        <v>200</v>
      </c>
      <c r="E11" s="23" t="s">
        <v>200</v>
      </c>
      <c r="F11" s="23" t="s">
        <v>200</v>
      </c>
      <c r="G11" s="24" t="n">
        <v>46299</v>
      </c>
    </row>
    <row r="12" customFormat="false" ht="15" hidden="false" customHeight="true" outlineLevel="0" collapsed="false">
      <c r="A12" s="25" t="s">
        <v>133</v>
      </c>
      <c r="B12" s="26" t="s">
        <v>35</v>
      </c>
      <c r="C12" s="25" t="s">
        <v>16</v>
      </c>
      <c r="D12" s="26" t="s">
        <v>36</v>
      </c>
      <c r="E12" s="27" t="s">
        <v>308</v>
      </c>
      <c r="F12" s="27" t="s">
        <v>309</v>
      </c>
      <c r="G12" s="28" t="n">
        <v>46299</v>
      </c>
    </row>
    <row r="13" customFormat="false" ht="15" hidden="false" customHeight="true" outlineLevel="0" collapsed="false">
      <c r="A13" s="21" t="s">
        <v>133</v>
      </c>
      <c r="B13" s="22" t="s">
        <v>274</v>
      </c>
      <c r="C13" s="21" t="s">
        <v>199</v>
      </c>
      <c r="D13" s="22" t="s">
        <v>200</v>
      </c>
      <c r="E13" s="23" t="s">
        <v>200</v>
      </c>
      <c r="F13" s="23" t="s">
        <v>200</v>
      </c>
      <c r="G13" s="24" t="n">
        <v>46299</v>
      </c>
    </row>
    <row r="14" customFormat="false" ht="15" hidden="false" customHeight="true" outlineLevel="0" collapsed="false">
      <c r="A14" s="25" t="s">
        <v>133</v>
      </c>
      <c r="B14" s="26" t="s">
        <v>275</v>
      </c>
      <c r="C14" s="25" t="s">
        <v>16</v>
      </c>
      <c r="D14" s="26" t="s">
        <v>40</v>
      </c>
      <c r="E14" s="27" t="s">
        <v>310</v>
      </c>
      <c r="F14" s="27" t="s">
        <v>311</v>
      </c>
      <c r="G14" s="28" t="n">
        <v>46299</v>
      </c>
    </row>
    <row r="15" customFormat="false" ht="15" hidden="false" customHeight="true" outlineLevel="0" collapsed="false">
      <c r="A15" s="25" t="s">
        <v>133</v>
      </c>
      <c r="B15" s="26" t="s">
        <v>278</v>
      </c>
      <c r="C15" s="25" t="s">
        <v>16</v>
      </c>
      <c r="D15" s="26" t="s">
        <v>40</v>
      </c>
      <c r="E15" s="27" t="s">
        <v>312</v>
      </c>
      <c r="F15" s="27" t="s">
        <v>313</v>
      </c>
      <c r="G15" s="28" t="n">
        <v>46299</v>
      </c>
    </row>
    <row r="16" customFormat="false" ht="25.5" hidden="false" customHeight="true" outlineLevel="0" collapsed="false">
      <c r="A16" s="21" t="s">
        <v>133</v>
      </c>
      <c r="B16" s="22" t="s">
        <v>43</v>
      </c>
      <c r="C16" s="21" t="s">
        <v>199</v>
      </c>
      <c r="D16" s="22" t="s">
        <v>200</v>
      </c>
      <c r="E16" s="23" t="s">
        <v>314</v>
      </c>
      <c r="F16" s="23" t="s">
        <v>200</v>
      </c>
      <c r="G16" s="24" t="n">
        <v>46299</v>
      </c>
    </row>
    <row r="17" customFormat="false" ht="15" hidden="false" customHeight="true" outlineLevel="0" collapsed="false">
      <c r="A17" s="25" t="s">
        <v>133</v>
      </c>
      <c r="B17" s="26" t="s">
        <v>46</v>
      </c>
      <c r="C17" s="25" t="s">
        <v>16</v>
      </c>
      <c r="D17" s="26" t="s">
        <v>36</v>
      </c>
      <c r="E17" s="27" t="s">
        <v>315</v>
      </c>
      <c r="F17" s="27" t="s">
        <v>316</v>
      </c>
      <c r="G17" s="28" t="n">
        <v>46299</v>
      </c>
    </row>
    <row r="18" customFormat="false" ht="15" hidden="false" customHeight="true" outlineLevel="0" collapsed="false">
      <c r="A18" s="25" t="s">
        <v>133</v>
      </c>
      <c r="B18" s="26" t="s">
        <v>49</v>
      </c>
      <c r="C18" s="25" t="s">
        <v>16</v>
      </c>
      <c r="D18" s="26" t="s">
        <v>18</v>
      </c>
      <c r="E18" s="27" t="s">
        <v>317</v>
      </c>
      <c r="F18" s="27" t="s">
        <v>318</v>
      </c>
      <c r="G18" s="28" t="n">
        <v>46299</v>
      </c>
    </row>
    <row r="19" customFormat="false" ht="25.5" hidden="false" customHeight="true" outlineLevel="0" collapsed="false">
      <c r="A19" s="25" t="s">
        <v>133</v>
      </c>
      <c r="B19" s="26" t="s">
        <v>55</v>
      </c>
      <c r="C19" s="25" t="s">
        <v>16</v>
      </c>
      <c r="D19" s="26" t="s">
        <v>56</v>
      </c>
      <c r="E19" s="27" t="s">
        <v>319</v>
      </c>
      <c r="F19" s="27" t="s">
        <v>320</v>
      </c>
      <c r="G19" s="28" t="n">
        <v>46299</v>
      </c>
    </row>
    <row r="20" customFormat="false" ht="15" hidden="false" customHeight="true" outlineLevel="0" collapsed="false">
      <c r="A20" s="25" t="s">
        <v>133</v>
      </c>
      <c r="B20" s="26" t="s">
        <v>62</v>
      </c>
      <c r="C20" s="25" t="s">
        <v>16</v>
      </c>
      <c r="D20" s="26" t="s">
        <v>18</v>
      </c>
      <c r="E20" s="27" t="s">
        <v>321</v>
      </c>
      <c r="F20" s="27" t="s">
        <v>322</v>
      </c>
      <c r="G20" s="28" t="n">
        <v>46299</v>
      </c>
    </row>
    <row r="21" customFormat="false" ht="15" hidden="false" customHeight="true" outlineLevel="0" collapsed="false">
      <c r="A21" s="25" t="s">
        <v>145</v>
      </c>
      <c r="B21" s="26" t="s">
        <v>100</v>
      </c>
      <c r="C21" s="25" t="s">
        <v>16</v>
      </c>
      <c r="D21" s="26" t="s">
        <v>56</v>
      </c>
      <c r="E21" s="27" t="s">
        <v>323</v>
      </c>
      <c r="F21" s="27" t="s">
        <v>324</v>
      </c>
      <c r="G21" s="28" t="n">
        <v>46300</v>
      </c>
    </row>
    <row r="22" customFormat="false" ht="15" hidden="false" customHeight="true" outlineLevel="0" collapsed="false">
      <c r="A22" s="25" t="s">
        <v>145</v>
      </c>
      <c r="B22" s="26" t="s">
        <v>104</v>
      </c>
      <c r="C22" s="25" t="s">
        <v>16</v>
      </c>
      <c r="D22" s="26" t="s">
        <v>28</v>
      </c>
      <c r="E22" s="27" t="s">
        <v>325</v>
      </c>
      <c r="F22" s="27" t="s">
        <v>326</v>
      </c>
      <c r="G22" s="28" t="n">
        <v>46300</v>
      </c>
    </row>
    <row r="23" customFormat="false" ht="15" hidden="false" customHeight="true" outlineLevel="0" collapsed="false">
      <c r="A23" s="25" t="s">
        <v>145</v>
      </c>
      <c r="B23" s="26" t="s">
        <v>107</v>
      </c>
      <c r="C23" s="25" t="s">
        <v>16</v>
      </c>
      <c r="D23" s="26" t="s">
        <v>56</v>
      </c>
      <c r="E23" s="27" t="s">
        <v>327</v>
      </c>
      <c r="F23" s="27" t="s">
        <v>328</v>
      </c>
      <c r="G23" s="28" t="n">
        <v>46300</v>
      </c>
    </row>
    <row r="24" customFormat="false" ht="15" hidden="false" customHeight="true" outlineLevel="0" collapsed="false">
      <c r="A24" s="21" t="s">
        <v>145</v>
      </c>
      <c r="B24" s="22" t="s">
        <v>254</v>
      </c>
      <c r="C24" s="21" t="s">
        <v>199</v>
      </c>
      <c r="D24" s="22" t="s">
        <v>200</v>
      </c>
      <c r="E24" s="23" t="s">
        <v>200</v>
      </c>
      <c r="F24" s="23" t="s">
        <v>200</v>
      </c>
      <c r="G24" s="24" t="n">
        <v>46300</v>
      </c>
    </row>
    <row r="25" customFormat="false" ht="15" hidden="false" customHeight="true" outlineLevel="0" collapsed="false">
      <c r="A25" s="25" t="s">
        <v>145</v>
      </c>
      <c r="B25" s="26" t="s">
        <v>110</v>
      </c>
      <c r="C25" s="25" t="s">
        <v>16</v>
      </c>
      <c r="D25" s="26" t="s">
        <v>28</v>
      </c>
      <c r="E25" s="27" t="s">
        <v>329</v>
      </c>
      <c r="F25" s="27" t="s">
        <v>330</v>
      </c>
      <c r="G25" s="28" t="n">
        <v>46300</v>
      </c>
    </row>
    <row r="26" customFormat="false" ht="15" hidden="false" customHeight="true" outlineLevel="0" collapsed="false">
      <c r="A26" s="25" t="s">
        <v>145</v>
      </c>
      <c r="B26" s="26" t="s">
        <v>113</v>
      </c>
      <c r="C26" s="25" t="s">
        <v>16</v>
      </c>
      <c r="D26" s="26" t="s">
        <v>11</v>
      </c>
      <c r="E26" s="27" t="s">
        <v>331</v>
      </c>
      <c r="F26" s="27" t="s">
        <v>332</v>
      </c>
      <c r="G26" s="28" t="n">
        <v>46300</v>
      </c>
    </row>
    <row r="27" customFormat="false" ht="15" hidden="false" customHeight="true" outlineLevel="0" collapsed="false">
      <c r="A27" s="21" t="s">
        <v>145</v>
      </c>
      <c r="B27" s="22" t="s">
        <v>259</v>
      </c>
      <c r="C27" s="21" t="s">
        <v>199</v>
      </c>
      <c r="D27" s="22" t="s">
        <v>200</v>
      </c>
      <c r="E27" s="23" t="s">
        <v>200</v>
      </c>
      <c r="F27" s="23" t="s">
        <v>200</v>
      </c>
      <c r="G27" s="24" t="n">
        <v>46300</v>
      </c>
    </row>
    <row r="28" customFormat="false" ht="15" hidden="false" customHeight="true" outlineLevel="0" collapsed="false">
      <c r="A28" s="25" t="s">
        <v>145</v>
      </c>
      <c r="B28" s="26" t="s">
        <v>116</v>
      </c>
      <c r="C28" s="25" t="s">
        <v>16</v>
      </c>
      <c r="D28" s="26" t="s">
        <v>11</v>
      </c>
      <c r="E28" s="27" t="s">
        <v>333</v>
      </c>
      <c r="F28" s="27" t="s">
        <v>334</v>
      </c>
      <c r="G28" s="28" t="n">
        <v>46300</v>
      </c>
    </row>
  </sheetData>
  <mergeCells count="4">
    <mergeCell ref="A1:G1"/>
    <mergeCell ref="A2:G2"/>
    <mergeCell ref="A3:G3"/>
    <mergeCell ref="A4:G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20" activeCellId="0" sqref="I20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2"/>
    <col collapsed="false" customWidth="true" hidden="false" outlineLevel="0" max="3" min="3" style="1" width="16"/>
    <col collapsed="false" customWidth="true" hidden="false" outlineLevel="0" max="4" min="4" style="1" width="22"/>
    <col collapsed="false" customWidth="true" hidden="false" outlineLevel="0" max="5" min="5" style="1" width="55"/>
    <col collapsed="false" customWidth="true" hidden="false" outlineLevel="0" max="6" min="6" style="1" width="50"/>
    <col collapsed="false" customWidth="true" hidden="false" outlineLevel="0" max="7" min="7" style="1" width="12"/>
  </cols>
  <sheetData>
    <row r="1" customFormat="false" ht="15.75" hidden="false" customHeight="true" outlineLevel="0" collapsed="false">
      <c r="A1" s="16" t="s">
        <v>335</v>
      </c>
      <c r="B1" s="16"/>
      <c r="C1" s="16"/>
      <c r="D1" s="16"/>
      <c r="E1" s="16"/>
      <c r="F1" s="16"/>
      <c r="G1" s="16"/>
    </row>
    <row r="2" customFormat="false" ht="15" hidden="false" customHeight="true" outlineLevel="0" collapsed="false">
      <c r="A2" s="17" t="s">
        <v>336</v>
      </c>
      <c r="B2" s="17"/>
      <c r="C2" s="17"/>
      <c r="D2" s="17"/>
      <c r="E2" s="17"/>
      <c r="F2" s="17"/>
      <c r="G2" s="17"/>
    </row>
    <row r="3" customFormat="false" ht="30" hidden="false" customHeight="true" outlineLevel="0" collapsed="false">
      <c r="A3" s="18" t="s">
        <v>337</v>
      </c>
      <c r="B3" s="18"/>
      <c r="C3" s="18"/>
      <c r="D3" s="18"/>
      <c r="E3" s="18"/>
      <c r="F3" s="18"/>
      <c r="G3" s="18"/>
    </row>
    <row r="4" customFormat="false" ht="15" hidden="false" customHeight="true" outlineLevel="0" collapsed="false">
      <c r="A4" s="19" t="s">
        <v>192</v>
      </c>
      <c r="B4" s="19"/>
      <c r="C4" s="19"/>
      <c r="D4" s="19"/>
      <c r="E4" s="19"/>
      <c r="F4" s="19"/>
      <c r="G4" s="19"/>
    </row>
    <row r="6" customFormat="false" ht="25.5" hidden="false" customHeight="true" outlineLevel="0" collapsed="false">
      <c r="A6" s="20" t="s">
        <v>120</v>
      </c>
      <c r="B6" s="20" t="s">
        <v>193</v>
      </c>
      <c r="C6" s="20" t="s">
        <v>194</v>
      </c>
      <c r="D6" s="20" t="s">
        <v>151</v>
      </c>
      <c r="E6" s="20" t="s">
        <v>195</v>
      </c>
      <c r="F6" s="20" t="s">
        <v>6</v>
      </c>
      <c r="G6" s="20" t="s">
        <v>196</v>
      </c>
    </row>
    <row r="7" customFormat="false" ht="15" hidden="false" customHeight="true" outlineLevel="0" collapsed="false">
      <c r="A7" s="21" t="s">
        <v>197</v>
      </c>
      <c r="B7" s="22" t="s">
        <v>198</v>
      </c>
      <c r="C7" s="21" t="s">
        <v>199</v>
      </c>
      <c r="D7" s="22" t="s">
        <v>200</v>
      </c>
      <c r="E7" s="23" t="s">
        <v>200</v>
      </c>
      <c r="F7" s="23" t="s">
        <v>200</v>
      </c>
      <c r="G7" s="24" t="n">
        <v>46299</v>
      </c>
    </row>
    <row r="8" customFormat="false" ht="15" hidden="false" customHeight="true" outlineLevel="0" collapsed="false">
      <c r="A8" s="21" t="s">
        <v>197</v>
      </c>
      <c r="B8" s="22" t="s">
        <v>201</v>
      </c>
      <c r="C8" s="21" t="s">
        <v>199</v>
      </c>
      <c r="D8" s="22" t="s">
        <v>200</v>
      </c>
      <c r="E8" s="22" t="s">
        <v>200</v>
      </c>
      <c r="F8" s="22" t="s">
        <v>200</v>
      </c>
      <c r="G8" s="24" t="n">
        <v>46299</v>
      </c>
    </row>
    <row r="9" customFormat="false" ht="25.5" hidden="false" customHeight="true" outlineLevel="0" collapsed="false">
      <c r="A9" s="21" t="s">
        <v>197</v>
      </c>
      <c r="B9" s="22" t="s">
        <v>204</v>
      </c>
      <c r="C9" s="21" t="s">
        <v>199</v>
      </c>
      <c r="D9" s="22" t="s">
        <v>200</v>
      </c>
      <c r="E9" s="23" t="s">
        <v>338</v>
      </c>
      <c r="F9" s="23" t="s">
        <v>200</v>
      </c>
      <c r="G9" s="24" t="n">
        <v>46299</v>
      </c>
    </row>
    <row r="10" customFormat="false" ht="15" hidden="false" customHeight="true" outlineLevel="0" collapsed="false">
      <c r="A10" s="21" t="s">
        <v>197</v>
      </c>
      <c r="B10" s="22" t="s">
        <v>208</v>
      </c>
      <c r="C10" s="21" t="s">
        <v>199</v>
      </c>
      <c r="D10" s="22" t="s">
        <v>200</v>
      </c>
      <c r="E10" s="23" t="s">
        <v>200</v>
      </c>
      <c r="F10" s="23" t="s">
        <v>200</v>
      </c>
      <c r="G10" s="24" t="n">
        <v>46299</v>
      </c>
    </row>
    <row r="11" customFormat="false" ht="23.25" hidden="false" customHeight="true" outlineLevel="0" collapsed="false">
      <c r="A11" s="21" t="s">
        <v>197</v>
      </c>
      <c r="B11" s="22" t="s">
        <v>209</v>
      </c>
      <c r="C11" s="21" t="s">
        <v>199</v>
      </c>
      <c r="D11" s="22" t="s">
        <v>200</v>
      </c>
      <c r="E11" s="22" t="s">
        <v>200</v>
      </c>
      <c r="F11" s="22" t="s">
        <v>200</v>
      </c>
      <c r="G11" s="24" t="n">
        <v>46299</v>
      </c>
    </row>
    <row r="12" customFormat="false" ht="15" hidden="false" customHeight="true" outlineLevel="0" collapsed="false">
      <c r="A12" s="21" t="s">
        <v>197</v>
      </c>
      <c r="B12" s="22" t="s">
        <v>211</v>
      </c>
      <c r="C12" s="21" t="s">
        <v>199</v>
      </c>
      <c r="D12" s="22" t="s">
        <v>200</v>
      </c>
      <c r="E12" s="23" t="s">
        <v>200</v>
      </c>
      <c r="F12" s="23" t="s">
        <v>200</v>
      </c>
      <c r="G12" s="24" t="n">
        <v>46299</v>
      </c>
    </row>
    <row r="13" customFormat="false" ht="15" hidden="false" customHeight="true" outlineLevel="0" collapsed="false">
      <c r="A13" s="21" t="s">
        <v>197</v>
      </c>
      <c r="B13" s="22" t="s">
        <v>212</v>
      </c>
      <c r="C13" s="21" t="s">
        <v>199</v>
      </c>
      <c r="D13" s="22" t="s">
        <v>200</v>
      </c>
      <c r="E13" s="23" t="s">
        <v>200</v>
      </c>
      <c r="F13" s="23" t="s">
        <v>200</v>
      </c>
      <c r="G13" s="24" t="n">
        <v>46299</v>
      </c>
    </row>
    <row r="14" customFormat="false" ht="25.5" hidden="false" customHeight="true" outlineLevel="0" collapsed="false">
      <c r="A14" s="21" t="s">
        <v>197</v>
      </c>
      <c r="B14" s="22" t="s">
        <v>213</v>
      </c>
      <c r="C14" s="21" t="s">
        <v>199</v>
      </c>
      <c r="D14" s="22" t="s">
        <v>200</v>
      </c>
      <c r="E14" s="23" t="s">
        <v>200</v>
      </c>
      <c r="F14" s="23" t="s">
        <v>200</v>
      </c>
      <c r="G14" s="24" t="n">
        <v>46299</v>
      </c>
    </row>
    <row r="15" customFormat="false" ht="15" hidden="false" customHeight="true" outlineLevel="0" collapsed="false">
      <c r="A15" s="21" t="s">
        <v>138</v>
      </c>
      <c r="B15" s="22" t="s">
        <v>229</v>
      </c>
      <c r="C15" s="21" t="s">
        <v>199</v>
      </c>
      <c r="D15" s="22" t="s">
        <v>200</v>
      </c>
      <c r="E15" s="23" t="s">
        <v>200</v>
      </c>
      <c r="F15" s="23" t="s">
        <v>200</v>
      </c>
      <c r="G15" s="24" t="n">
        <v>46299</v>
      </c>
    </row>
    <row r="16" customFormat="false" ht="25.5" hidden="false" customHeight="true" outlineLevel="0" collapsed="false">
      <c r="A16" s="25" t="s">
        <v>138</v>
      </c>
      <c r="B16" s="26" t="s">
        <v>65</v>
      </c>
      <c r="C16" s="25" t="s">
        <v>16</v>
      </c>
      <c r="D16" s="26" t="s">
        <v>36</v>
      </c>
      <c r="E16" s="27" t="s">
        <v>339</v>
      </c>
      <c r="F16" s="27" t="s">
        <v>340</v>
      </c>
      <c r="G16" s="28" t="n">
        <v>46300</v>
      </c>
    </row>
    <row r="17" customFormat="false" ht="15" hidden="false" customHeight="true" outlineLevel="0" collapsed="false">
      <c r="A17" s="21" t="s">
        <v>138</v>
      </c>
      <c r="B17" s="22" t="s">
        <v>232</v>
      </c>
      <c r="C17" s="21" t="s">
        <v>199</v>
      </c>
      <c r="D17" s="22" t="s">
        <v>200</v>
      </c>
      <c r="E17" s="23" t="s">
        <v>200</v>
      </c>
      <c r="F17" s="23" t="s">
        <v>200</v>
      </c>
      <c r="G17" s="24" t="n">
        <v>46300</v>
      </c>
    </row>
    <row r="18" customFormat="false" ht="25.5" hidden="false" customHeight="true" outlineLevel="0" collapsed="false">
      <c r="A18" s="25" t="s">
        <v>138</v>
      </c>
      <c r="B18" s="26" t="s">
        <v>68</v>
      </c>
      <c r="C18" s="25" t="s">
        <v>16</v>
      </c>
      <c r="D18" s="26" t="s">
        <v>18</v>
      </c>
      <c r="E18" s="27" t="s">
        <v>341</v>
      </c>
      <c r="F18" s="27" t="s">
        <v>342</v>
      </c>
      <c r="G18" s="28" t="n">
        <v>46300</v>
      </c>
    </row>
    <row r="19" customFormat="false" ht="15" hidden="false" customHeight="true" outlineLevel="0" collapsed="false">
      <c r="A19" s="25" t="s">
        <v>138</v>
      </c>
      <c r="B19" s="26" t="s">
        <v>31</v>
      </c>
      <c r="C19" s="25" t="s">
        <v>16</v>
      </c>
      <c r="D19" s="26" t="s">
        <v>18</v>
      </c>
      <c r="E19" s="27" t="s">
        <v>343</v>
      </c>
      <c r="F19" s="27" t="s">
        <v>344</v>
      </c>
      <c r="G19" s="28" t="n">
        <v>46300</v>
      </c>
    </row>
    <row r="20" customFormat="false" ht="25.5" hidden="false" customHeight="true" outlineLevel="0" collapsed="false">
      <c r="A20" s="25" t="s">
        <v>138</v>
      </c>
      <c r="B20" s="26" t="s">
        <v>71</v>
      </c>
      <c r="C20" s="25" t="s">
        <v>16</v>
      </c>
      <c r="D20" s="26" t="s">
        <v>28</v>
      </c>
      <c r="E20" s="27" t="s">
        <v>345</v>
      </c>
      <c r="F20" s="27" t="s">
        <v>346</v>
      </c>
      <c r="G20" s="28" t="n">
        <v>46300</v>
      </c>
    </row>
    <row r="21" customFormat="false" ht="25.5" hidden="false" customHeight="true" outlineLevel="0" collapsed="false">
      <c r="A21" s="21" t="s">
        <v>138</v>
      </c>
      <c r="B21" s="22" t="s">
        <v>74</v>
      </c>
      <c r="C21" s="21" t="s">
        <v>199</v>
      </c>
      <c r="D21" s="22" t="s">
        <v>200</v>
      </c>
      <c r="E21" s="23" t="s">
        <v>347</v>
      </c>
      <c r="F21" s="23" t="s">
        <v>200</v>
      </c>
      <c r="G21" s="24" t="n">
        <v>46300</v>
      </c>
    </row>
    <row r="22" customFormat="false" ht="25.5" hidden="false" customHeight="true" outlineLevel="0" collapsed="false">
      <c r="A22" s="25" t="s">
        <v>138</v>
      </c>
      <c r="B22" s="26" t="s">
        <v>78</v>
      </c>
      <c r="C22" s="25" t="s">
        <v>16</v>
      </c>
      <c r="D22" s="26" t="s">
        <v>18</v>
      </c>
      <c r="E22" s="27" t="s">
        <v>348</v>
      </c>
      <c r="F22" s="27" t="s">
        <v>349</v>
      </c>
      <c r="G22" s="28" t="n">
        <v>46300</v>
      </c>
    </row>
    <row r="23" customFormat="false" ht="25.5" hidden="false" customHeight="true" outlineLevel="0" collapsed="false">
      <c r="A23" s="25" t="s">
        <v>138</v>
      </c>
      <c r="B23" s="26" t="s">
        <v>243</v>
      </c>
      <c r="C23" s="25" t="s">
        <v>16</v>
      </c>
      <c r="D23" s="26" t="s">
        <v>40</v>
      </c>
      <c r="E23" s="27" t="s">
        <v>350</v>
      </c>
      <c r="F23" s="27" t="s">
        <v>351</v>
      </c>
      <c r="G23" s="28" t="n">
        <v>46300</v>
      </c>
    </row>
    <row r="24" customFormat="false" ht="25.5" hidden="false" customHeight="true" outlineLevel="0" collapsed="false">
      <c r="A24" s="25" t="s">
        <v>138</v>
      </c>
      <c r="B24" s="26" t="s">
        <v>84</v>
      </c>
      <c r="C24" s="25" t="s">
        <v>16</v>
      </c>
      <c r="D24" s="26" t="s">
        <v>56</v>
      </c>
      <c r="E24" s="27" t="s">
        <v>352</v>
      </c>
      <c r="F24" s="27" t="s">
        <v>353</v>
      </c>
      <c r="G24" s="28" t="n">
        <v>46300</v>
      </c>
    </row>
  </sheetData>
  <mergeCells count="4">
    <mergeCell ref="A1:G1"/>
    <mergeCell ref="A2:G2"/>
    <mergeCell ref="A3:G3"/>
    <mergeCell ref="A4:G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2026-10-06T19:48:02Z</dcterms:created>
  <dc:creator>openpyxl</dc:creator>
  <dc:description/>
  <dc:language>en-US</dc:language>
  <cp:lastModifiedBy>Ярослав Гатченко</cp:lastModifiedBy>
  <dcterms:modified xsi:type="dcterms:W3CDTF">2026-10-16T06:26:48Z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