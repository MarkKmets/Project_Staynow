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єстр" sheetId="1" state="visible" r:id="rId1"/>
    <sheet xmlns:r="http://schemas.openxmlformats.org/officeDocument/2006/relationships" name="Розподіл розділів" sheetId="2" state="visible" r:id="rId2"/>
    <sheet xmlns:r="http://schemas.openxmlformats.org/officeDocument/2006/relationships" name="Спірні" sheetId="3" state="visible" r:id="rId3"/>
    <sheet xmlns:r="http://schemas.openxmlformats.org/officeDocument/2006/relationships" name="Підсумок" sheetId="4" state="visible" r:id="rId4"/>
  </sheets>
  <definedNames>
    <definedName name="_xlnm._FilterDatabase" localSheetId="0" hidden="1">'Реєстр'!$A$4:$H$35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name val="DejaVu Sans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7" customWidth="1" min="3" max="3"/>
    <col width="60" customWidth="1" min="4" max="4"/>
    <col width="60" customWidth="1" min="5" max="5"/>
    <col width="22" customWidth="1" min="6" max="6"/>
    <col width="22" customWidth="1" min="7" max="7"/>
    <col width="16" customWidth="1" min="8" max="8"/>
  </cols>
  <sheetData>
    <row r="1">
      <c r="A1" s="1" t="inlineStr">
        <is>
          <t>Реєстр дефектів вимог. Продукт «СтейНау» (StayNow), SRS 1.0 (SN-SRS-01). Команда Backrooms. Спринт 2</t>
        </is>
      </c>
    </row>
    <row r="2">
      <c r="A2" t="inlineStr">
        <is>
          <t>Автор зведення: Сирота В. О. (Тест-аналітик). Модератор: Гатченко Я. Р. (Керівник тестування). Один рядок — один дефект. Жовті клітинки заповнюються за індивідуальними аркушами аудиту.</t>
        </is>
      </c>
    </row>
    <row r="4">
      <c r="A4" s="2" t="inlineStr">
        <is>
          <t>№</t>
        </is>
      </c>
      <c r="B4" s="2" t="inlineStr">
        <is>
          <t>ID вимоги</t>
        </is>
      </c>
      <c r="C4" s="2" t="inlineStr">
        <is>
          <t>Критерій (головний)</t>
        </is>
      </c>
      <c r="D4" s="2" t="inlineStr">
        <is>
          <t>Опис дефекту (пункт чек-листа і цитата)</t>
        </is>
      </c>
      <c r="E4" s="2" t="inlineStr">
        <is>
          <t>Пропозиція виправлення</t>
        </is>
      </c>
      <c r="F4" s="2" t="inlineStr">
        <is>
          <t>Хто знайшов</t>
        </is>
      </c>
      <c r="G4" s="2" t="inlineStr">
        <is>
          <t>Статус</t>
        </is>
      </c>
      <c r="H4" s="2" t="inlineStr">
        <is>
          <t>Потребує підтвердження замовником</t>
        </is>
      </c>
    </row>
    <row r="5">
      <c r="A5" s="3" t="n">
        <v>1</v>
      </c>
      <c r="B5" s="3" t="inlineStr">
        <is>
          <t>F-10</t>
        </is>
      </c>
      <c r="C5" s="3" t="inlineStr">
        <is>
          <t>повнота</t>
        </is>
      </c>
      <c r="D5" s="3" t="inlineStr">
        <is>
          <t>Повнота, п. 2: «Усі необхідні вимоги присутні». У F-10 згадано пункти меню «Amenities», «Location» і кнопку «Book Now», але їхню поведінку не описано: прокручування вказано лише для «Rooms», «Booking», «Contact».</t>
        </is>
      </c>
      <c r="E5" s="3" t="inlineStr">
        <is>
          <t>«…Пункти «Rooms», «Booking», «Amenities», «Location», «Contact» прокручують сторінку до відповідного розділу; кнопка «Book Now» прокручує до віджета «Check Availability &amp; Book Your Stay»; «Admin» відкриває сторінку входу до адмінпанелі /admin.»</t>
        </is>
      </c>
      <c r="F5" s="8" t="inlineStr">
        <is>
          <t>Гатченко Я., Кмець М.</t>
        </is>
      </c>
      <c r="G5" s="5" t="inlineStr">
        <is>
          <t>прийнято</t>
        </is>
      </c>
      <c r="H5" s="3" t="inlineStr">
        <is>
          <t>так</t>
        </is>
      </c>
    </row>
    <row r="6">
      <c r="A6" s="3" t="n">
        <v>2</v>
      </c>
      <c r="B6" s="3" t="inlineStr">
        <is>
          <t>F-20</t>
        </is>
      </c>
      <c r="C6" s="3" t="inlineStr">
        <is>
          <t>несуперечливість</t>
        </is>
      </c>
      <c r="D6" s="3" t="inlineStr">
        <is>
          <t>Несуперечливість, п. 2: F-20 називає типи Single, Double, Suite і зручності TV, WiFi, Safe, Radio, а F-90 дозволяє створити номер типу Single, Twin, Double, Family, Suite із зручностями WiFi, TV, Radio, Refreshments, Safe, Views і вимагає, щоб він з'явився в «Our Rooms». Номер Twin чи зручність Views не можна показати за F-20.</t>
        </is>
      </c>
      <c r="E6" s="3" t="inlineStr">
        <is>
          <t>F-20: «…для кожного номера показуються тип (Single, Twin, Double, Family або Suite), опис, зручності (WiFi, TV, Radio, Refreshments, Safe, Views), ціна «£N per night» і кнопка «Book now»…»</t>
        </is>
      </c>
      <c r="F6" s="8" t="inlineStr">
        <is>
          <t>Сімутін В., Тіньков Д.</t>
        </is>
      </c>
      <c r="G6" s="4" t="inlineStr">
        <is>
          <t>спірне — див. аркуш «Спірні»</t>
        </is>
      </c>
      <c r="H6" s="3" t="inlineStr"/>
    </row>
    <row r="7">
      <c r="A7" s="3" t="n">
        <v>3</v>
      </c>
      <c r="B7" s="3" t="inlineStr">
        <is>
          <t>F-30</t>
        </is>
      </c>
      <c r="C7" s="3" t="inlineStr">
        <is>
          <t>повнота</t>
        </is>
      </c>
      <c r="D7" s="3" t="inlineStr">
        <is>
          <t>Повнота, п. 4–5: не обумовлено недопустимі вхідні дані віджета й реакцію на них — не обрано одну з дат, виїзд не пізніший за заїзд, заїзд у минулому.</t>
        </is>
      </c>
      <c r="E7" s="3" t="inlineStr">
        <is>
          <t>Додати до F-30: «Якщо одну з дат не обрано, дата виїзду не пізніша за дату заїзду або дата заїзду раніша за поточну, система не оновлює перелік номерів і показує повідомлення про помилку (вимоги до тексту — GUI-60).»</t>
        </is>
      </c>
      <c r="F7" s="8" t="inlineStr">
        <is>
          <t>Сімутін В., Тіньков Д.</t>
        </is>
      </c>
      <c r="G7" s="4" t="inlineStr">
        <is>
          <t>спірне — див. аркуш «Спірні»</t>
        </is>
      </c>
      <c r="H7" s="3" t="inlineStr"/>
    </row>
    <row r="8">
      <c r="A8" s="3" t="n">
        <v>4</v>
      </c>
      <c r="B8" s="3" t="inlineStr">
        <is>
          <t>F-40</t>
        </is>
      </c>
      <c r="C8" s="3" t="inlineStr">
        <is>
          <t>тестопридатність</t>
        </is>
      </c>
      <c r="D8" s="3" t="inlineStr">
        <is>
          <t>Тестопридатність (4.7): слова-маркери «швидко» і «без помилок за будь-яких умов» не мають чисел і умов, тож не можна написати тест-кейс з однозначним результатом «пройдено / не пройдено». «Швидко» водночас порушує однозначність; головним обрано тестопридатність, бо виправлення додає вимірювані значення.</t>
        </is>
      </c>
      <c r="E8" s="3" t="inlineStr">
        <is>
          <t>«Після натискання «Check Availability» перелік номерів оновлюється не довше ніж за 3 с; перелік не містить жодного номера, зайнятого хоча б на одну ніч інтервалу [заїзд, виїзд).»</t>
        </is>
      </c>
      <c r="F8" s="8" t="inlineStr">
        <is>
          <t>Сімутін В., Тіньков Д.</t>
        </is>
      </c>
      <c r="G8" s="5" t="inlineStr">
        <is>
          <t>прийнято</t>
        </is>
      </c>
      <c r="H8" s="3" t="inlineStr"/>
    </row>
    <row r="9">
      <c r="A9" s="3" t="n">
        <v>5</v>
      </c>
      <c r="B9" s="3" t="inlineStr">
        <is>
          <t>GUI-50</t>
        </is>
      </c>
      <c r="C9" s="3" t="inlineStr">
        <is>
          <t>несуперечливість</t>
        </is>
      </c>
      <c r="D9" s="3" t="inlineStr">
        <is>
          <t>Несуперечливість, п. 2: GUI-50 вимагає «Service fee» £10, а F-50 — «Service fee» £15 і Total = добуток + 25 + 15. Для одного рядка «Price Summary» існують два очікувані результати.</t>
        </is>
      </c>
      <c r="E9" s="3" t="inlineStr">
        <is>
          <t>GUI-50: «…«Cleaning fee» £25, «Service fee» £15 та підсумковий рядок «Total» напівжирним шрифтом.» (значення £15 узгоджене з формулою Total у F-50).</t>
        </is>
      </c>
      <c r="F9" s="8" t="inlineStr">
        <is>
          <t>Сирота В., Кмець М.</t>
        </is>
      </c>
      <c r="G9" s="5" t="inlineStr">
        <is>
          <t>прийнято</t>
        </is>
      </c>
      <c r="H9" s="3" t="inlineStr"/>
    </row>
    <row r="10">
      <c r="A10" s="3" t="n">
        <v>6</v>
      </c>
      <c r="B10" s="3" t="inlineStr">
        <is>
          <t>F-60</t>
        </is>
      </c>
      <c r="C10" s="3" t="inlineStr">
        <is>
          <t>однозначність</t>
        </is>
      </c>
      <c r="D10" s="3" t="inlineStr">
        <is>
          <t>Однозначність, п. 1 і 4: «надсилає гостю підтвердження» не визначає канал, зміст і момент; у SRS немає вимог до пошти, тож фраза допускає кілька тлумачень (лист, повідомлення на сторінці).</t>
        </is>
      </c>
      <c r="E10" s="3" t="inlineStr">
        <is>
          <t>«…система перевіряє поля, зберігає бронювання на вибрані дати і показує гостю на сторінці підтвердження з датами бронювання (точний текст фіксується на demo); надсилання листа гостю — у цільовій версії продукту.»</t>
        </is>
      </c>
      <c r="F10" s="8" t="inlineStr">
        <is>
          <t>Сімутін В., Тіньков Д.</t>
        </is>
      </c>
      <c r="G10" s="5" t="inlineStr">
        <is>
          <t>прийнято</t>
        </is>
      </c>
      <c r="H10" s="3" t="inlineStr">
        <is>
          <t>так</t>
        </is>
      </c>
    </row>
    <row r="11">
      <c r="A11" s="3" t="n">
        <v>7</v>
      </c>
      <c r="B11" s="3" t="inlineStr">
        <is>
          <t>F-80 (дубль)</t>
        </is>
      </c>
      <c r="C11" s="3" t="inlineStr">
        <is>
          <t>простежуваність</t>
        </is>
      </c>
      <c r="D11" s="3" t="inlineStr">
        <is>
          <t>Простежуваність, п. 1–2: дві різні вимоги — вхід (розд. 3, рядок 8) і завершення сеансу «Logout» (рядок 9) — мають однаковий ID F-80; посилання «F-80» неоднозначне, тест-кейс не можна однозначно прив'язати.</t>
        </is>
      </c>
      <c r="E11" s="3" t="inlineStr">
        <is>
          <t>Залишити F-80 за вимогою про вхід; вимозі про вихід («Logout») присвоїти вільний ID F-85 (між F-80 і F-90); інші ID не змінюються.</t>
        </is>
      </c>
      <c r="F11" s="8" t="inlineStr">
        <is>
          <t>Сімутін В., Тіньков Д.</t>
        </is>
      </c>
      <c r="G11" s="5" t="inlineStr">
        <is>
          <t>прийнято</t>
        </is>
      </c>
      <c r="H11" s="3" t="inlineStr"/>
    </row>
    <row r="12">
      <c r="A12" s="3" t="n">
        <v>8</v>
      </c>
      <c r="B12" s="3" t="inlineStr">
        <is>
          <t>F-90</t>
        </is>
      </c>
      <c r="C12" s="3" t="inlineStr">
        <is>
          <t>повнота</t>
        </is>
      </c>
      <c r="D12" s="3" t="inlineStr">
        <is>
          <t>Повнота, п. 4–5: не обумовлено обмеження полів створення номера (обов'язковість номера/назви, допустима ціна) і реакцію на недопустимі значення.</t>
        </is>
      </c>
      <c r="E12" s="3" t="inlineStr">
        <is>
          <t>Додати до F-90: «Номер/назва і ціна за ніч обов'язкові, ціна — додатне число; якщо значення порожнє або недопустиме, номер не створюється, над кнопкою «Create» показується перелік помилок.»</t>
        </is>
      </c>
      <c r="F12" s="8" t="inlineStr">
        <is>
          <t>Сімутін В., Тіньков Д.</t>
        </is>
      </c>
      <c r="G12" s="4" t="inlineStr">
        <is>
          <t>спірне — див. аркуш «Спірні»</t>
        </is>
      </c>
      <c r="H12" s="3" t="inlineStr"/>
    </row>
    <row r="13">
      <c r="A13" s="3" t="n">
        <v>9</v>
      </c>
      <c r="B13" s="3" t="inlineStr">
        <is>
          <t>F-100</t>
        </is>
      </c>
      <c r="C13" s="3" t="inlineStr">
        <is>
          <t>однозначність</t>
        </is>
      </c>
      <c r="D13" s="3" t="inlineStr">
        <is>
          <t>Однозначність, п. 1 і 3: дієслово «обробити повідомлення» не визначає дію (позначити прочитаним, відповісти, видалити); у процесі 4 каталогу — «позначається обробленим або видаляється».</t>
        </is>
      </c>
      <c r="E13" s="3" t="inlineStr">
        <is>
          <t>«…і може обробити повідомлення: відкрити його для читання (після чого воно позначається прочитаним) або видалити зі списку.»</t>
        </is>
      </c>
      <c r="F13" s="8" t="inlineStr">
        <is>
          <t>Сімутін В., Тіньков Д.</t>
        </is>
      </c>
      <c r="G13" s="5" t="inlineStr">
        <is>
          <t>прийнято</t>
        </is>
      </c>
      <c r="H13" s="3" t="inlineStr">
        <is>
          <t>так</t>
        </is>
      </c>
    </row>
    <row r="14">
      <c r="A14" s="3" t="n">
        <v>10</v>
      </c>
      <c r="B14" s="3" t="inlineStr">
        <is>
          <t>F-110</t>
        </is>
      </c>
      <c r="C14" s="3" t="inlineStr">
        <is>
          <t>несуперечливість</t>
        </is>
      </c>
      <c r="D14" s="3" t="inlineStr">
        <is>
          <t>Несуперечливість, п. 2: F-110 встановлює безкоштовне скасування за 5 і більше днів до заїзду, а BL-60 і BL-80 — за 7 і більше. Для скасування за 5–6 днів є два очікувані результати (0 % і 50 %).</t>
        </is>
      </c>
      <c r="E14" s="3" t="inlineStr">
        <is>
          <t>F-110: «…скасування безкоштовне, якщо до дати заїзду залишилось 7 або більше днів, в інших випадках утримується плата за скасування згідно з розділом 5.» (узгоджено з BL-60 і правилом каталогу).</t>
        </is>
      </c>
      <c r="F14" s="8" t="inlineStr">
        <is>
          <t>Сімутін В., Тіньков Д.</t>
        </is>
      </c>
      <c r="G14" s="5" t="inlineStr">
        <is>
          <t>прийнято</t>
        </is>
      </c>
      <c r="H14" s="3" t="inlineStr"/>
    </row>
    <row r="15">
      <c r="A15" s="3" t="n">
        <v>11</v>
      </c>
      <c r="B15" s="3" t="inlineStr">
        <is>
          <t>F-110</t>
        </is>
      </c>
      <c r="C15" s="3" t="inlineStr">
        <is>
          <t>повнота</t>
        </is>
      </c>
      <c r="D15" s="3" t="inlineStr">
        <is>
          <t>Повнота, п. 2: у SRS немає вимоги показувати гостю політику скасування до підтвердження бронювання, хоча замовник цього очікує (каталог, 6.4, п. 5: «показується до підтвердження»); без неї не перевірити очікування замовника.</t>
        </is>
      </c>
      <c r="E15" s="3" t="inlineStr">
        <is>
          <t>Нова вимога F-115 (Medium): «До натискання кінцевого «Reserve Now» система показує гостю політику скасування: безкоштовно за 7 і більше днів до заїзду; 50 % вартості за 3–6 днів; 100 % за менше ніж 3 дні.»</t>
        </is>
      </c>
      <c r="F15" s="8" t="inlineStr">
        <is>
          <t>Сімутін В., Тіньков Д.</t>
        </is>
      </c>
      <c r="G15" s="4" t="inlineStr">
        <is>
          <t>спірне — див. аркуш «Спірні»</t>
        </is>
      </c>
      <c r="H15" s="3" t="inlineStr">
        <is>
          <t>так</t>
        </is>
      </c>
    </row>
    <row r="16">
      <c r="A16" s="3" t="n">
        <v>12</v>
      </c>
      <c r="B16" s="3" t="inlineStr">
        <is>
          <t>F-120</t>
        </is>
      </c>
      <c r="C16" s="3" t="inlineStr">
        <is>
          <t>здійсненність</t>
        </is>
      </c>
      <c r="D16" s="3" t="inlineStr">
        <is>
          <t>Здійсненність (4.6): звіт «на основі фактичних даних про заселення і виселення» неможливо побудувати для майбутніх періодів, які вимога прямо допускає, — вимога нездійсненна за визначенням.</t>
        </is>
      </c>
      <c r="E16" s="3" t="inlineStr">
        <is>
          <t>«Адміністратор формує звіт заповнюваності номерів за будь-який період: для минулих і поточного — за фактичними заселеннями і виселеннями; для майбутніх — за підтвердженими бронюваннями, звіт позначається «прогноз».»</t>
        </is>
      </c>
      <c r="F16" s="8" t="inlineStr">
        <is>
          <t>Сімутін В., Тіньков Д.</t>
        </is>
      </c>
      <c r="G16" s="5" t="inlineStr">
        <is>
          <t>прийнято</t>
        </is>
      </c>
      <c r="H16" s="3" t="inlineStr">
        <is>
          <t>так</t>
        </is>
      </c>
    </row>
    <row r="17">
      <c r="A17" s="3" t="n">
        <v>13</v>
      </c>
      <c r="B17" s="3" t="inlineStr">
        <is>
          <t>F-120</t>
        </is>
      </c>
      <c r="C17" s="3" t="inlineStr">
        <is>
          <t>однозначність</t>
        </is>
      </c>
      <c r="D17" s="3" t="inlineStr">
        <is>
          <t>Однозначність, п. 5: у 1.2 і 2.1 адміністратору доступний «звіт бронювань», а F-120 описує «звіт заповнюваності номерів» — терміни не єдині, не зрозуміло, один це звіт чи два.</t>
        </is>
      </c>
      <c r="E17" s="3" t="inlineStr">
        <is>
          <t>У 1.2 і 2.1 замінити «звіт бронювань» на «звіт заповнюваності номерів» (як у F-120).</t>
        </is>
      </c>
      <c r="F17" s="8" t="inlineStr">
        <is>
          <t>Гатченко Я., Кмець М.</t>
        </is>
      </c>
      <c r="G17" s="4" t="inlineStr">
        <is>
          <t>спірне — див. аркуш «Спірні»</t>
        </is>
      </c>
      <c r="H17" s="3" t="inlineStr"/>
    </row>
    <row r="18">
      <c r="A18" s="3" t="n">
        <v>14</v>
      </c>
      <c r="B18" s="3" t="inlineStr">
        <is>
          <t>F-130</t>
        </is>
      </c>
      <c r="C18" s="3" t="inlineStr">
        <is>
          <t>несуперечливість</t>
        </is>
      </c>
      <c r="D18" s="3" t="inlineStr">
        <is>
          <t>Несуперечливість, п. 2: F-130 завершує сесію через 24 години після входу, а S-20 — через 30 хвилин неактивності. Для адміністратора, який пропрацював 40 хвилин без пауз, вимоги дають різні очікувані результати.</t>
        </is>
      </c>
      <c r="E18" s="3" t="inlineStr">
        <is>
          <t>F-130: «Сесія адміністратора завершується за першою з умов: натискання «Logout»; 30 хвилин без дій (S-20); 24 години від входу. Після завершення сесії для доступу до адмінпанелі потрібен повторний вхід.»</t>
        </is>
      </c>
      <c r="F18" s="8" t="inlineStr">
        <is>
          <t>Сімутін В., Тіньков Д.</t>
        </is>
      </c>
      <c r="G18" s="5" t="inlineStr">
        <is>
          <t>прийнято</t>
        </is>
      </c>
      <c r="H18" s="3" t="inlineStr">
        <is>
          <t>так</t>
        </is>
      </c>
    </row>
    <row r="19">
      <c r="A19" s="3" t="n">
        <v>15</v>
      </c>
      <c r="B19" s="3" t="inlineStr">
        <is>
          <t>GUI-20</t>
        </is>
      </c>
      <c r="C19" s="3" t="inlineStr">
        <is>
          <t>однозначність</t>
        </is>
      </c>
      <c r="D19" s="3" t="inlineStr">
        <is>
          <t>Однозначність, п. 2–3: «залежно від налаштувань» не каже, яких саме налаштувань і як вони визначають формат; тест не може встановити очікуваний формат дати.</t>
        </is>
      </c>
      <c r="E19" s="3" t="inlineStr">
        <is>
          <t>«Поля «Check In» і «Check Out» показують дату у форматі, що визначається мовою браузера: дд/мм/рррр для uk, мм/дд/рррр для en-US; у параметрах URL (F-20) формат завжди РРРР-ММ-ДД; натискання на поле відкриває календар.»</t>
        </is>
      </c>
      <c r="F19" s="8" t="inlineStr">
        <is>
          <t>Сирота В., Кмець М.</t>
        </is>
      </c>
      <c r="G19" s="5" t="inlineStr">
        <is>
          <t>прийнято</t>
        </is>
      </c>
      <c r="H19" s="3" t="inlineStr">
        <is>
          <t>так</t>
        </is>
      </c>
    </row>
    <row r="20">
      <c r="A20" s="3" t="n">
        <v>16</v>
      </c>
      <c r="B20" s="3" t="inlineStr">
        <is>
          <t>GUI-40</t>
        </is>
      </c>
      <c r="C20" s="3" t="inlineStr">
        <is>
          <t>несуперечливість</t>
        </is>
      </c>
      <c r="D20" s="3" t="inlineStr">
        <is>
          <t>Несуперечливість, п. 2: F-60 і GUI-80 вимагають заповнення чотирьох полів (Firstname, Lastname, Email, Phone), а GUI-40 перелічує лише три поля з підказками — «Phone» пропущено.</t>
        </is>
      </c>
      <c r="E20" s="3" t="inlineStr">
        <is>
          <t>GUI-40: «…текстові поля з підказками (placeholder) «Firstname», «Lastname», «Email», «Phone» та кнопки «Reserve Now» і «Cancel»…»</t>
        </is>
      </c>
      <c r="F20" s="8" t="inlineStr">
        <is>
          <t>Сирота В., Кмець М.</t>
        </is>
      </c>
      <c r="G20" s="5" t="inlineStr">
        <is>
          <t>прийнято</t>
        </is>
      </c>
      <c r="H20" s="3" t="inlineStr"/>
    </row>
    <row r="21">
      <c r="A21" s="3" t="n">
        <v>17</v>
      </c>
      <c r="B21" s="3" t="inlineStr">
        <is>
          <t>GUI-60</t>
        </is>
      </c>
      <c r="C21" s="3" t="inlineStr">
        <is>
          <t>тестопридатність</t>
        </is>
      </c>
      <c r="D21" s="3" t="inlineStr">
        <is>
          <t>Тестопридатність (4.7): слова «зрозумілими, доброзичливими і не дратувати гостя» не мають ознаки, яку можна спостерігати; результат «пройдено / не пройдено» невизначений. Також порушує однозначність; головний критерій — тестопридатність, бо виправлення додає вимірювані ознаки.</t>
        </is>
      </c>
      <c r="E21" s="3" t="inlineStr">
        <is>
          <t>«Кожне повідомлення про помилку у формах називає поле і порушене обмеження (наприклад, «Subject: від 5 до 100 символів»), не містить технічних кодів і трасувань, не довше 100 символів; перелік показується над кнопкою надсилання.»</t>
        </is>
      </c>
      <c r="F21" s="8" t="inlineStr">
        <is>
          <t>Сирота В., Кмець М.</t>
        </is>
      </c>
      <c r="G21" s="5" t="inlineStr">
        <is>
          <t>прийнято</t>
        </is>
      </c>
      <c r="H21" s="3" t="inlineStr"/>
    </row>
    <row r="22">
      <c r="A22" s="3" t="n">
        <v>18</v>
      </c>
      <c r="B22" s="3" t="inlineStr">
        <is>
          <t>GUI-70</t>
        </is>
      </c>
      <c r="C22" s="3" t="inlineStr">
        <is>
          <t>простежуваність</t>
        </is>
      </c>
      <c r="D22" s="3" t="inlineStr">
        <is>
          <t>Простежуваність, п. 5: недопуск до адмінпанелі при неправильних облікових даних описано і в GUI-70, і в F-80 — вимоги перекриваються.</t>
        </is>
      </c>
      <c r="E22" s="3" t="inlineStr">
        <is>
          <t>У GUI-70 залишити лише зовнішній вигляд (поля позначаються як помилкові); недопуск до адмінпанелі — у F-80, у GUI-70 дати посилання «див. F-80».</t>
        </is>
      </c>
      <c r="F22" s="8" t="inlineStr">
        <is>
          <t>Сирота В., Кмець М.</t>
        </is>
      </c>
      <c r="G22" s="4" t="inlineStr">
        <is>
          <t>спірне — див. аркуш «Спірні»</t>
        </is>
      </c>
      <c r="H22" s="3" t="inlineStr"/>
    </row>
    <row r="23">
      <c r="A23" s="3" t="n">
        <v>19</v>
      </c>
      <c r="B23" s="3" t="inlineStr">
        <is>
          <t>GUI-80</t>
        </is>
      </c>
      <c r="C23" s="3" t="inlineStr">
        <is>
          <t>несуперечливість</t>
        </is>
      </c>
      <c r="D23" s="3" t="inlineStr">
        <is>
          <t>Несуперечливість, п. 1: вимога суперечить сама собі — кнопка «Reserve Now» неактивна, доки не заповнено всі поля, але «при натисканні з порожніми полями» система показує помилки; на неактивну кнопку натиснути не можна.</t>
        </is>
      </c>
      <c r="E23" s="3" t="inlineStr">
        <is>
          <t>GUI-80: «Кнопка «Reserve Now» завжди активна; при натисканні з порожніми або недопустимими полями система показує перелік помилок валідації над кнопкою і не зберігає бронювання.»</t>
        </is>
      </c>
      <c r="F23" s="8" t="inlineStr">
        <is>
          <t>Сирота В., Кмець М.</t>
        </is>
      </c>
      <c r="G23" s="5" t="inlineStr">
        <is>
          <t>прийнято</t>
        </is>
      </c>
      <c r="H23" s="3" t="inlineStr"/>
    </row>
    <row r="24">
      <c r="A24" s="3" t="n">
        <v>20</v>
      </c>
      <c r="B24" s="3" t="inlineStr">
        <is>
          <t>без ID (розд. 4, рядок 9)</t>
        </is>
      </c>
      <c r="C24" s="3" t="inlineStr">
        <is>
          <t>простежуваність</t>
        </is>
      </c>
      <c r="D24" s="3" t="inlineStr">
        <is>
          <t>Простежуваність, п. 2: рядок розд. 4 №9 — форма «Send Us a Message» на головній сторінці — не має ідентифікатора; на нього не можна послатись з тест-кейса й матриці простежуваності.</t>
        </is>
      </c>
      <c r="E24" s="3" t="inlineStr">
        <is>
          <t>Присвоїти ID GUI-85 (вільний між GUI-80 і GUI-90); інші ID не змінюються.</t>
        </is>
      </c>
      <c r="F24" s="8" t="inlineStr">
        <is>
          <t>Сирота В., Кмець М.</t>
        </is>
      </c>
      <c r="G24" s="5" t="inlineStr">
        <is>
          <t>прийнято</t>
        </is>
      </c>
      <c r="H24" s="3" t="inlineStr"/>
    </row>
    <row r="25">
      <c r="A25" s="3" t="n">
        <v>21</v>
      </c>
      <c r="B25" s="3" t="inlineStr">
        <is>
          <t>GUI-90</t>
        </is>
      </c>
      <c r="C25" s="3" t="inlineStr">
        <is>
          <t>здійсненність</t>
        </is>
      </c>
      <c r="D25" s="3" t="inlineStr">
        <is>
          <t>Здійсненність (4.6): піксельна ідентичність «в усіх браузерах і на всіх пристроях, включно з кнопковими телефонами без браузера» нездійсненна (браузера немає) і суперечить 2.2, де підтримуються лише Chrome і Firefox.</t>
        </is>
      </c>
      <c r="E25" s="3" t="inlineStr">
        <is>
          <t>«Сторінки гостьової частини відображаються без перекриття елементів, функції F-10…F-70 доступні в поточних версіях Chrome і Firefox на ширині вікна від 375 px; піксельна ідентичність не вимагається.»</t>
        </is>
      </c>
      <c r="F25" s="8" t="inlineStr">
        <is>
          <t>Сирота В., Кмець М.</t>
        </is>
      </c>
      <c r="G25" s="5" t="inlineStr">
        <is>
          <t>прийнято</t>
        </is>
      </c>
      <c r="H25" s="3" t="inlineStr"/>
    </row>
    <row r="26">
      <c r="A26" s="3" t="n">
        <v>22</v>
      </c>
      <c r="B26" s="3" t="inlineStr">
        <is>
          <t>BL-10</t>
        </is>
      </c>
      <c r="C26" s="3" t="inlineStr">
        <is>
          <t>повнота</t>
        </is>
      </c>
      <c r="D26" s="3" t="inlineStr">
        <is>
          <t>Повнота, п. 2 і 4: метод має параметри guests і capacity, але серед перевірок кількість гостей відсутня; не наведено і перелік кодів BookingError, тож не обумовлено допустимі та недопустимі вхідні дані.</t>
        </is>
      </c>
      <c r="E26" s="3" t="inlineStr">
        <is>
          <t>Додати до BL-10: «Також перевіряє, що кількість гостей не менша за 1 і не більша за capacity. Порушення дають коди BookingError: INVALID_DATES (виїзд не пізніший за заїзд), INVALID_NIGHTS (ночей менше 1 або більше 30), PAST_CHECK_IN (заїзд раніший за today), INVALID_GUESTS (гостей менше 1 або більше capacity).» Назви кодів звірити з SN-BL-01.</t>
        </is>
      </c>
      <c r="F26" s="8" t="inlineStr">
        <is>
          <t>Гатченко Я., Сімутін В.</t>
        </is>
      </c>
      <c r="G26" s="5" t="inlineStr">
        <is>
          <t>прийнято</t>
        </is>
      </c>
      <c r="H26" s="3" t="inlineStr">
        <is>
          <t>так</t>
        </is>
      </c>
    </row>
    <row r="27">
      <c r="A27" s="3" t="n">
        <v>23</v>
      </c>
      <c r="B27" s="3" t="inlineStr">
        <is>
          <t>BL-20</t>
        </is>
      </c>
      <c r="C27" s="3" t="inlineStr">
        <is>
          <t>однозначність</t>
        </is>
      </c>
      <c r="D27" s="3" t="inlineStr">
        <is>
          <t>Однозначність, п. 3–4: формат «локальна_частина@домен.зона» не визначає допустимі символи, довжину і значення null/порожнього рядка; різні розробники реалізують по-різному.</t>
        </is>
      </c>
      <c r="E27" s="3" t="inlineStr">
        <is>
          <t>«isValidEmail приймає рядок «локальна_частина@домен.зона»: локальна частина — латинські літери, цифри та символи . _ % + - ; домен — мітки з латинських літер, цифр і дефіса, розділені крапками; зона — не менше 2 літер; null і порожній рядок — false.»</t>
        </is>
      </c>
      <c r="F27" s="8" t="inlineStr">
        <is>
          <t>Гатченко Я., Сімутін В.</t>
        </is>
      </c>
      <c r="G27" s="4" t="inlineStr">
        <is>
          <t>спірне — див. аркуш «Спірні»</t>
        </is>
      </c>
      <c r="H27" s="3" t="inlineStr"/>
    </row>
    <row r="28">
      <c r="A28" s="3" t="n">
        <v>24</v>
      </c>
      <c r="B28" s="3" t="inlineStr">
        <is>
          <t>BL-30</t>
        </is>
      </c>
      <c r="C28" s="3" t="inlineStr">
        <is>
          <t>однозначність</t>
        </is>
      </c>
      <c r="D28" s="3" t="inlineStr">
        <is>
          <t>Однозначність, п. 1 і 4: «вихідні дні» не визначено — невідомо, це п'ятниця і субота чи субота і неділя; ніч ідентифікується датою початку (1.3), тож «ніч у вихідний день» допускає кілька тлумачень.</t>
        </is>
      </c>
      <c r="E28" s="3" t="inlineStr">
        <is>
          <t>«Ночі напередодні вихідних — ніч, дата початку якої (1.3) п'ятниця або субота, — оплачуються з надбавкою 15 % (метод isWeekendNight).» Додати до 1.3 термін «Вихідна ніч».</t>
        </is>
      </c>
      <c r="F28" s="8" t="inlineStr">
        <is>
          <t>Гатченко Я., Сімутін В.</t>
        </is>
      </c>
      <c r="G28" s="5" t="inlineStr">
        <is>
          <t>прийнято</t>
        </is>
      </c>
      <c r="H28" s="3" t="inlineStr">
        <is>
          <t>так</t>
        </is>
      </c>
    </row>
    <row r="29">
      <c r="A29" s="3" t="n">
        <v>25</v>
      </c>
      <c r="B29" s="3" t="inlineStr">
        <is>
          <t>BL-80</t>
        </is>
      </c>
      <c r="C29" s="3" t="inlineStr">
        <is>
          <t>простежуваність</t>
        </is>
      </c>
      <c r="D29" s="3" t="inlineStr">
        <is>
          <t>Простежуваність, п. 1 і 5: BL-80 повторює правило BL-60 (безкоштовно за 7 і більше днів, 50 % за 3–6) і неповна — немає рівня «менше 3 днів»; вимоги перекриваються і дають два джерела істини.</t>
        </is>
      </c>
      <c r="E29" s="3" t="inlineStr">
        <is>
          <t>Вилучити BL-80 як дубль BL-60; ID BL-80 не використовується повторно (залишається «дірка»); посилання на BL-80 замінити на BL-60.</t>
        </is>
      </c>
      <c r="F29" s="8" t="inlineStr">
        <is>
          <t>Гатченко Я., Сімутін В.</t>
        </is>
      </c>
      <c r="G29" s="5" t="inlineStr">
        <is>
          <t>прийнято</t>
        </is>
      </c>
      <c r="H29" s="3" t="inlineStr"/>
    </row>
    <row r="30">
      <c r="A30" s="3" t="n">
        <v>26</v>
      </c>
      <c r="B30" s="3" t="inlineStr">
        <is>
          <t>P-10</t>
        </is>
      </c>
      <c r="C30" s="3" t="inlineStr">
        <is>
          <t>здійсненність</t>
        </is>
      </c>
      <c r="D30" s="3" t="inlineStr">
        <is>
          <t>Здійсненність (4.6): 50 мс «за будь-якого з'єднання, включно з 2G» не гарантувати — час залежить від мережі, яку продукт не контролює.</t>
        </is>
      </c>
      <c r="E30" s="3" t="inlineStr">
        <is>
          <t>«Сторінка зі списком номерів повністю завантажується не довше ніж за 3 с на з'єднанні 4G (не менше 10 Мбіт/с) у Chrome; час вимірюється до події load.»</t>
        </is>
      </c>
      <c r="F30" s="8" t="inlineStr">
        <is>
          <t>Сирота В., Тіньков Д.</t>
        </is>
      </c>
      <c r="G30" s="5" t="inlineStr">
        <is>
          <t>прийнято</t>
        </is>
      </c>
      <c r="H30" s="3" t="inlineStr"/>
    </row>
    <row r="31">
      <c r="A31" s="3" t="n">
        <v>27</v>
      </c>
      <c r="B31" s="3" t="inlineStr">
        <is>
          <t>P-20</t>
        </is>
      </c>
      <c r="C31" s="3" t="inlineStr">
        <is>
          <t>тестопридатність</t>
        </is>
      </c>
      <c r="D31" s="3" t="inlineStr">
        <is>
          <t>Тестопридатність (4.7): «велике навантаження» і «без деградації» не мають чисел; тест не може дати «пройдено / не пройдено».</t>
        </is>
      </c>
      <c r="E31" s="3" t="inlineStr">
        <is>
          <t>«Під навантаженням 50 одночасних користувачів, що протягом 5 хв відкривають сторінку зі списком номерів, 95-й перцентиль часу відповіді не перевищує 3 с, частка помилок — менше 1 %.»</t>
        </is>
      </c>
      <c r="F31" s="8" t="inlineStr">
        <is>
          <t>Сирота В., Тіньков Д.</t>
        </is>
      </c>
      <c r="G31" s="5" t="inlineStr">
        <is>
          <t>прийнято</t>
        </is>
      </c>
      <c r="H31" s="3" t="inlineStr"/>
    </row>
    <row r="32">
      <c r="A32" s="3" t="n">
        <v>28</v>
      </c>
      <c r="B32" s="3" t="inlineStr">
        <is>
          <t>S-10</t>
        </is>
      </c>
      <c r="C32" s="3" t="inlineStr">
        <is>
          <t>здійсненність</t>
        </is>
      </c>
      <c r="D32" s="3" t="inlineStr">
        <is>
          <t>Здійсненність (4.6): гарантія «100 % захист від будь-яких кібератак, включно з невідомими» неможлива за визначенням.</t>
        </is>
      </c>
      <c r="E32" s="3" t="inlineStr">
        <is>
          <t>«Адмінпанель недоступна без автентифікації за прямим URL; дані, введені у форми, екрануються і не виконуються як HTML/JS; облікові дані не передаються в URL.»</t>
        </is>
      </c>
      <c r="F32" s="8" t="inlineStr">
        <is>
          <t>Сирота В., Тіньков Д.</t>
        </is>
      </c>
      <c r="G32" s="5" t="inlineStr">
        <is>
          <t>прийнято</t>
        </is>
      </c>
      <c r="H32" s="3" t="inlineStr"/>
    </row>
    <row r="33">
      <c r="A33" s="3" t="n">
        <v>29</v>
      </c>
      <c r="B33" s="3" t="inlineStr">
        <is>
          <t>U-10</t>
        </is>
      </c>
      <c r="C33" s="3" t="inlineStr">
        <is>
          <t>тестопридатність</t>
        </is>
      </c>
      <c r="D33" s="3" t="inlineStr">
        <is>
          <t>Тестопридатність (4.7): слово-маркер «інтуїтивно зрозумілий» не має критерію спостереження.</t>
        </is>
      </c>
      <c r="E33" s="3" t="inlineStr">
        <is>
          <t>«Новий користувач без інструкції доходить від головної сторінки до підтвердженого бронювання не довше ніж за 3 хв і з не більше ніж однією помилкою; перевірка на 5 учасниках, критерій — 4 з 5.»</t>
        </is>
      </c>
      <c r="F33" s="8" t="inlineStr">
        <is>
          <t>Сирота В., Тіньков Д.</t>
        </is>
      </c>
      <c r="G33" s="5" t="inlineStr">
        <is>
          <t>прийнято</t>
        </is>
      </c>
      <c r="H33" s="3" t="inlineStr"/>
    </row>
    <row r="34">
      <c r="A34" s="3" t="n">
        <v>30</v>
      </c>
      <c r="B34" s="3" t="inlineStr">
        <is>
          <t>U-20</t>
        </is>
      </c>
      <c r="C34" s="3" t="inlineStr">
        <is>
          <t>повнота</t>
        </is>
      </c>
      <c r="D34" s="3" t="inlineStr">
        <is>
          <t>Повнота, п. 3: вимога посилається на GUI-120, якого немає в SRS (останній ID розділу — GUI-90): посилання на неіснуючий пункт.</t>
        </is>
      </c>
      <c r="E34" s="3" t="inlineStr">
        <is>
          <t>«Усі форми гостьової частини оформлюються за єдиною схемою: поля з підказками (GUI-40, GUI-85) і перелік помилок над кнопкою надсилання (GUI-80, F-70).»</t>
        </is>
      </c>
      <c r="F34" s="8" t="inlineStr">
        <is>
          <t>Сирота В., Тіньков Д.</t>
        </is>
      </c>
      <c r="G34" s="5" t="inlineStr">
        <is>
          <t>прийнято</t>
        </is>
      </c>
      <c r="H34" s="3" t="inlineStr"/>
    </row>
    <row r="35">
      <c r="A35" s="3" t="n">
        <v>31</v>
      </c>
      <c r="B35" s="3" t="inlineStr">
        <is>
          <t>D-20</t>
        </is>
      </c>
      <c r="C35" s="3" t="inlineStr">
        <is>
          <t>повнота</t>
        </is>
      </c>
      <c r="D35" s="3" t="inlineStr">
        <is>
          <t>Повнота, п. 2–3: посилання на корпоративний стандарт SN-DOC-07 «Стандарт документації», якого немає серед документів (1.4); зміст «довідки адміністратора» ніде не описано.</t>
        </is>
      </c>
      <c r="E35" s="3" t="inlineStr">
        <is>
          <t>«Довідка адміністратора оформлюється файлом admin-help.md з описом входу, номерів, повідомлень і звіту (F-80…F-120).» Посилання на SN-DOC-07 вилучити.</t>
        </is>
      </c>
      <c r="F35" s="8" t="inlineStr">
        <is>
          <t>Сирота В., Тіньков Д.</t>
        </is>
      </c>
      <c r="G35" s="5" t="inlineStr">
        <is>
          <t>прийнято</t>
        </is>
      </c>
      <c r="H35" s="3" t="inlineStr">
        <is>
          <t>так</t>
        </is>
      </c>
    </row>
  </sheetData>
  <autoFilter ref="A4:H3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6" customWidth="1" min="3" max="3"/>
    <col width="26" customWidth="1" min="4" max="4"/>
    <col width="26" customWidth="1" min="5" max="5"/>
    <col width="22" customWidth="1" min="6" max="6"/>
    <col width="14" customWidth="1" min="7" max="7"/>
  </cols>
  <sheetData>
    <row r="1">
      <c r="A1" s="1" t="inlineStr">
        <is>
          <t>Розподіл розділів SRS 1.0 між перевіряючими (кожен розділ — двоє незалежно)</t>
        </is>
      </c>
    </row>
    <row r="3">
      <c r="A3" s="2" t="inlineStr">
        <is>
          <t>Розділ SRS</t>
        </is>
      </c>
      <c r="B3" s="2" t="inlineStr">
        <is>
          <t>Зміст</t>
        </is>
      </c>
      <c r="C3" s="2" t="inlineStr">
        <is>
          <t>Одиниць для перевірки</t>
        </is>
      </c>
      <c r="D3" s="2" t="inlineStr">
        <is>
          <t>Перевіряючий 1</t>
        </is>
      </c>
      <c r="E3" s="2" t="inlineStr">
        <is>
          <t>Перевіряючий 2</t>
        </is>
      </c>
      <c r="F3" s="2" t="inlineStr">
        <is>
          <t>Строк незалежної перевірки</t>
        </is>
      </c>
      <c r="G3" s="2" t="inlineStr">
        <is>
          <t>Статус</t>
        </is>
      </c>
    </row>
    <row r="4">
      <c r="A4" s="3" t="inlineStr">
        <is>
          <t>1–2</t>
        </is>
      </c>
      <c r="B4" s="3" t="inlineStr">
        <is>
          <t>Вступ, терміни (1.3), посилання (1.4), ролі (2.1), середовище, обмеження (2.2–2.3)</t>
        </is>
      </c>
      <c r="C4" s="3" t="inlineStr">
        <is>
          <t>8 термінів, 4 посилання, 3 ролі, 2.2–2.3</t>
        </is>
      </c>
      <c r="D4" s="3" t="inlineStr">
        <is>
          <t>Гатченко Ярослав</t>
        </is>
      </c>
      <c r="E4" s="3" t="inlineStr">
        <is>
          <t>Кмець Марк</t>
        </is>
      </c>
      <c r="F4" s="3" t="inlineStr">
        <is>
          <t>дні 1–4 спринта</t>
        </is>
      </c>
      <c r="G4" s="9" t="inlineStr">
        <is>
          <t>готово</t>
        </is>
      </c>
    </row>
    <row r="5">
      <c r="A5" s="3" t="inlineStr">
        <is>
          <t>3</t>
        </is>
      </c>
      <c r="B5" s="3" t="inlineStr">
        <is>
          <t>Функціональні вимоги F-10…F-130</t>
        </is>
      </c>
      <c r="C5" s="3" t="inlineStr">
        <is>
          <t>14 рядків</t>
        </is>
      </c>
      <c r="D5" s="3" t="inlineStr">
        <is>
          <t>Сімутін Владислав</t>
        </is>
      </c>
      <c r="E5" s="3" t="inlineStr">
        <is>
          <t>Тіньков Данііл</t>
        </is>
      </c>
      <c r="F5" s="3" t="inlineStr">
        <is>
          <t>дні 1–4 спринта</t>
        </is>
      </c>
      <c r="G5" s="9" t="inlineStr">
        <is>
          <t>готово</t>
        </is>
      </c>
    </row>
    <row r="6">
      <c r="A6" s="3" t="inlineStr">
        <is>
          <t>4</t>
        </is>
      </c>
      <c r="B6" s="3" t="inlineStr">
        <is>
          <t>Вимоги до інтерфейсу GUI-10…GUI-90</t>
        </is>
      </c>
      <c r="C6" s="3" t="inlineStr">
        <is>
          <t>10 рядків (один без ID)</t>
        </is>
      </c>
      <c r="D6" s="3" t="inlineStr">
        <is>
          <t>Сирота Володимир</t>
        </is>
      </c>
      <c r="E6" s="3" t="inlineStr">
        <is>
          <t>Кмець Марк</t>
        </is>
      </c>
      <c r="F6" s="3" t="inlineStr">
        <is>
          <t>дні 1–4 спринта</t>
        </is>
      </c>
      <c r="G6" s="9" t="inlineStr">
        <is>
          <t>готово</t>
        </is>
      </c>
    </row>
    <row r="7">
      <c r="A7" s="3" t="inlineStr">
        <is>
          <t>5</t>
        </is>
      </c>
      <c r="B7" s="3" t="inlineStr">
        <is>
          <t>Бізнес-логіка модуля BL-10…BL-80</t>
        </is>
      </c>
      <c r="C7" s="3" t="inlineStr">
        <is>
          <t>8 рядків</t>
        </is>
      </c>
      <c r="D7" s="3" t="inlineStr">
        <is>
          <t>Гатченко Ярослав</t>
        </is>
      </c>
      <c r="E7" s="3" t="inlineStr">
        <is>
          <t>Сімутін Владислав</t>
        </is>
      </c>
      <c r="F7" s="3" t="inlineStr">
        <is>
          <t>дні 1–4 спринта</t>
        </is>
      </c>
      <c r="G7" s="9" t="inlineStr">
        <is>
          <t>готово</t>
        </is>
      </c>
    </row>
    <row r="8">
      <c r="A8" s="3" t="inlineStr">
        <is>
          <t>6</t>
        </is>
      </c>
      <c r="B8" s="3" t="inlineStr">
        <is>
          <t>Нефункціональні P-, S-, U-, D-</t>
        </is>
      </c>
      <c r="C8" s="3" t="inlineStr">
        <is>
          <t>8 рядків</t>
        </is>
      </c>
      <c r="D8" s="3" t="inlineStr">
        <is>
          <t>Сирота Володимир</t>
        </is>
      </c>
      <c r="E8" s="3" t="inlineStr">
        <is>
          <t>Тіньков Данііл</t>
        </is>
      </c>
      <c r="F8" s="3" t="inlineStr">
        <is>
          <t>дні 1–4 спринта</t>
        </is>
      </c>
      <c r="G8" s="9" t="inlineStr">
        <is>
          <t>готово</t>
        </is>
      </c>
    </row>
    <row r="10">
      <c r="A10" s="6" t="inlineStr">
        <is>
          <t>Перевірка покриття: кожен розділ має двох незалежних перевіряючих; кожна людина — два розділи. Обговорювати знахідки до дня зведення (день 5) заборонено.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50" customWidth="1" min="4" max="4"/>
    <col width="50" customWidth="1" min="5" max="5"/>
    <col width="28" customWidth="1" min="6" max="6"/>
    <col width="30" customWidth="1" min="7" max="7"/>
  </cols>
  <sheetData>
    <row r="1">
      <c r="A1" s="1" t="inlineStr">
        <is>
          <t>Спірні рядки реєстру: аргументи Аудитора-опонента («адвоката замовника») і рішення</t>
        </is>
      </c>
    </row>
    <row r="2">
      <c r="A2" t="inlineStr">
        <is>
          <t>Аргументи — чернетки для обговорення (день 6–7). Рішення і підпис заповнюються на самому обговоренні. Відхилені рядки з реєстру не видаляються.</t>
        </is>
      </c>
    </row>
    <row r="4">
      <c r="A4" s="2" t="inlineStr">
        <is>
          <t>№ рядка реєстру</t>
        </is>
      </c>
      <c r="B4" s="2" t="inlineStr">
        <is>
          <t>ID вимоги</t>
        </is>
      </c>
      <c r="C4" s="2" t="inlineStr">
        <is>
          <t>Критерій</t>
        </is>
      </c>
      <c r="D4" s="2" t="inlineStr">
        <is>
          <t>Аргумент Аудитора-опонента (проти дефекту)</t>
        </is>
      </c>
      <c r="E4" s="2" t="inlineStr">
        <is>
          <t>Відповідь автора знахідки (за дефект)</t>
        </is>
      </c>
      <c r="F4" s="2" t="inlineStr">
        <is>
          <t>Рішення (прийнято / відхилено після обговорення)</t>
        </is>
      </c>
      <c r="G4" s="2" t="inlineStr">
        <is>
          <t>Обґрунтування рішення</t>
        </is>
      </c>
    </row>
    <row r="5">
      <c r="A5" s="3" t="n">
        <v>2</v>
      </c>
      <c r="B5" s="3" t="inlineStr">
        <is>
          <t>F-20</t>
        </is>
      </c>
      <c r="C5" s="3" t="inlineStr">
        <is>
          <t>несуперечливість</t>
        </is>
      </c>
      <c r="D5" s="3" t="inlineStr">
        <is>
          <t>F-20 описує те, що гість бачить на картці; типи й зручності можуть бути підмножиною повного переліку.</t>
        </is>
      </c>
      <c r="E5" s="3" t="inlineStr">
        <is>
          <t>F-90 дозволяє створити Twin/Family і зручності Refreshments/Views та вимагає, щоб номер з'явився в «Our Rooms»; без узгодження F-20 його не можна показати за вимогою.</t>
        </is>
      </c>
      <c r="F5" s="10" t="inlineStr">
        <is>
          <t>прийнято після обговорення</t>
        </is>
      </c>
      <c r="G5" s="11" t="inlineStr">
        <is>
          <t>Аудитор-опонент згодився: F-90 дозволяє створити тип Twin, Family й вимагає, щоб він з'явився у «Our Rooms»; без узгодження з F-20 неможливо однозначно показати такий номер. Дефект порушує несуперечливість (п. 2 чек-листа). Виправлення F-20: «…для кожного номера показуються тип (Single, Twin, Double, Family або Suite), зручності (WiFi, TV, Radio, Refreshments, Safe, Views)…»</t>
        </is>
      </c>
    </row>
    <row r="6">
      <c r="A6" s="3" t="n">
        <v>3</v>
      </c>
      <c r="B6" s="3" t="inlineStr">
        <is>
          <t>F-30</t>
        </is>
      </c>
      <c r="C6" s="3" t="inlineStr">
        <is>
          <t>повнота</t>
        </is>
      </c>
      <c r="D6" s="3" t="inlineStr">
        <is>
          <t>Недопустимі дати відсікає компонент календаря, це питання GUI-20, а не F-30.</t>
        </is>
      </c>
      <c r="E6" s="3" t="inlineStr">
        <is>
          <t>Календар не гарантує коректності: можливе пряме введення в поле і параметри URL checkin/checkout (каталог, 6.8); реакція не описана.</t>
        </is>
      </c>
      <c r="F6" s="10" t="inlineStr">
        <is>
          <t>прийнято після обговорення</t>
        </is>
      </c>
      <c r="G6" s="11" t="inlineStr">
        <is>
          <t>Аудитор-опонент визнав: пряме введення в поле й параметри URL checkin/checkout можливі (див. F-20, каталог 6.8); календар не гарантує коректності. Чек-лист повноти п. 4–5 вимагає обумовити недопустимі вхідні дані й реакцію. Додаємо: «Якщо одну з дат не обрано, дата виїзду не пізніша за заїзд або заїзд у минулому — система не оновлює перелік і показує помилку (GUI-60)»</t>
        </is>
      </c>
    </row>
    <row r="7">
      <c r="A7" s="3" t="n">
        <v>8</v>
      </c>
      <c r="B7" s="3" t="inlineStr">
        <is>
          <t>F-90</t>
        </is>
      </c>
      <c r="C7" s="3" t="inlineStr">
        <is>
          <t>повнота</t>
        </is>
      </c>
      <c r="D7" s="3" t="inlineStr">
        <is>
          <t>Обмеження полів — деталь реалізації demo, а не вимога замовника.</t>
        </is>
      </c>
      <c r="E7" s="3" t="inlineStr">
        <is>
          <t>Чек-лист повноти, п. 4–5, вимагає обумовити недопустимі вхідні дані і реакцію; без цього тест-кейс для «Create» не має очікуваного результату.</t>
        </is>
      </c>
      <c r="F7" s="10" t="inlineStr">
        <is>
          <t>прийнято після обговорення</t>
        </is>
      </c>
      <c r="G7" s="11" t="inlineStr">
        <is>
          <t>Аудитор-опонент згодився: чек-лист повноти п. 4–5 вимагає обумовити недопустимі вхідні дані й реакцію; без цього тест-кейс для «Create» не має однозначного очікуваного результату. Додаємо: «Номер/назва й ціна обов'язкові, ціна — додатне число; якщо значення порожнє або недопустиме, номер не створюється, над кнопкою «Create» — перелік помилок»</t>
        </is>
      </c>
    </row>
    <row r="8">
      <c r="A8" s="3" t="n">
        <v>11</v>
      </c>
      <c r="B8" s="3" t="inlineStr">
        <is>
          <t>F-110</t>
        </is>
      </c>
      <c r="C8" s="3" t="inlineStr">
        <is>
          <t>повнота</t>
        </is>
      </c>
      <c r="D8" s="3" t="inlineStr">
        <is>
          <t>Це нова функція, а не дефект наявної вимоги: у SRS 1.0 її не було.</t>
        </is>
      </c>
      <c r="E8" s="3" t="inlineStr">
        <is>
          <t>Очікування замовника №5 (каталог, 6.4) — політика «показується до підтвердження»; повнота, п. 2: усі необхідні вимоги мають бути в SRS.</t>
        </is>
      </c>
      <c r="F8" s="10" t="inlineStr">
        <is>
          <t>відхилено після обговорення</t>
        </is>
      </c>
      <c r="G8" s="11" t="inlineStr">
        <is>
          <t>Аудитор-опонент аргументував, що у SRS 1.0 цієї вимоги не було; команда не може додавати нову вимогу (F-115) лише через аудит — це розширення обсягу. Очікування замовника №5 з каталогу (6.4) належить віднести до замовлення нової функції (Спринт 1, беклог), а не до аудиту SRS 1.0. Якщо замовник на Demo підтвердить потребу — у SRS 1.2 окремим записом журналу змін</t>
        </is>
      </c>
    </row>
    <row r="9">
      <c r="A9" s="3" t="n">
        <v>13</v>
      </c>
      <c r="B9" s="3" t="inlineStr">
        <is>
          <t>F-120</t>
        </is>
      </c>
      <c r="C9" s="3" t="inlineStr">
        <is>
          <t>однозначність</t>
        </is>
      </c>
      <c r="D9" s="3" t="inlineStr">
        <is>
          <t>«Звіт бронювань» і «звіт заповнюваності» можуть бути двома різними звітами.</t>
        </is>
      </c>
      <c r="E9" s="3" t="inlineStr">
        <is>
          <t>Окремої вимоги до «звіту бронювань» немає; термін не визначений і не єдиний (однозначність, п. 5).</t>
        </is>
      </c>
      <c r="F9" s="10" t="inlineStr">
        <is>
          <t>прийнято після обговорення</t>
        </is>
      </c>
      <c r="G9" s="11" t="inlineStr">
        <is>
          <t>Аудитор-опонент згодився: окремої вимоги до «звіту бронювань» немає, термін не визначений і не єдиний. Чек-лист однозначності п. 5: специфічна термінологія має бути єдиною. У 1.2 і 2.1 замінюємо «звіт бронювань» на «звіт заповнюваності номерів» (як у F-120)</t>
        </is>
      </c>
    </row>
    <row r="10">
      <c r="A10" s="3" t="n">
        <v>18</v>
      </c>
      <c r="B10" s="3" t="inlineStr">
        <is>
          <t>GUI-70</t>
        </is>
      </c>
      <c r="C10" s="3" t="inlineStr">
        <is>
          <t>простежуваність</t>
        </is>
      </c>
      <c r="D10" s="3" t="inlineStr">
        <is>
          <t>GUI-70 описує зовнішній вигляд, F-80 — функцію: це різні аспекти, а не дублювання.</t>
        </is>
      </c>
      <c r="E10" s="3" t="inlineStr">
        <is>
          <t>Речення про недопуск до адмінпанелі є в обох вимогах — вимоги перекриваються (простежуваність, п. 5).</t>
        </is>
      </c>
      <c r="F10" s="10" t="inlineStr">
        <is>
          <t>відхилено після обговорення</t>
        </is>
      </c>
      <c r="G10" s="11" t="inlineStr">
        <is>
          <t>Аудитор-опонент аргументував: GUI-70 описує зовнішній вигляд сторінки входу (поля, підписи, позначки помилок), F-80 — функцію недопуску. Це різні аспекти однієї поведінки, а не дублювання вимог. Чек-лист простежуваності п. 1 вимагає унікальності, але різні аспекти одного процесу не є дублюванням. GUI-70 лишається як опис UI входу</t>
        </is>
      </c>
    </row>
    <row r="11">
      <c r="A11" s="3" t="n">
        <v>23</v>
      </c>
      <c r="B11" s="3" t="inlineStr">
        <is>
          <t>BL-20</t>
        </is>
      </c>
      <c r="C11" s="3" t="inlineStr">
        <is>
          <t>однозначність</t>
        </is>
      </c>
      <c r="D11" s="3" t="inlineStr">
        <is>
          <t>Формату з BL-20 достатньо для юніт-тестів: тестується типовий і помилковий email.</t>
        </is>
      </c>
      <c r="E11" s="3" t="inlineStr">
        <is>
          <t>Граничні випадки (null, допустимі символи, довжина) відкриті; різні розробники реалізують по-різному (однозначність, п. 3–4).</t>
        </is>
      </c>
      <c r="F11" s="10" t="inlineStr">
        <is>
          <t>відхилено після обговорення</t>
        </is>
      </c>
      <c r="G11" s="11" t="inlineStr">
        <is>
          <t>Аудитор-опонент аргументував: для юніт-тестів модуля v1 формату «локальна_частина@домен.зона» достатньо — тестується типовий і помилковий email. Граничні випадки (null, допустимі символи, довжина) реалізуються у v2 з повним RFC; для аудиту SRS 1.0 формалізм достатній. Якщо замовник на Demo підтвердить потребу у суворіший специфікації — у SRS 1.2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14" customWidth="1" min="4" max="4"/>
  </cols>
  <sheetData>
    <row r="1">
      <c r="A1" s="1" t="inlineStr">
        <is>
          <t>Підсумок за нормативами (команда з 5 осіб)</t>
        </is>
      </c>
    </row>
    <row r="3">
      <c r="A3" s="2" t="inlineStr">
        <is>
          <t>Критерій</t>
        </is>
      </c>
      <c r="B3" s="2" t="inlineStr">
        <is>
          <t>Прийнято (за Реєстром)</t>
        </is>
      </c>
      <c r="C3" s="2" t="inlineStr">
        <is>
          <t>Норматив</t>
        </is>
      </c>
      <c r="D3" s="2" t="inlineStr">
        <is>
          <t>Виконано</t>
        </is>
      </c>
    </row>
    <row r="4">
      <c r="A4" s="7" t="inlineStr">
        <is>
          <t>однозначність</t>
        </is>
      </c>
      <c r="B4" s="7">
        <f>COUNTIFS(Реєстр!$C$5:$C$200,A4,Реєстр!$G$5:$G$200,"прийнято*")</f>
        <v/>
      </c>
      <c r="C4" s="7" t="n">
        <v>2</v>
      </c>
      <c r="D4" s="7">
        <f>IF(B4&gt;=C4,"так","ні")</f>
        <v/>
      </c>
    </row>
    <row r="5">
      <c r="A5" s="7" t="inlineStr">
        <is>
          <t>повнота</t>
        </is>
      </c>
      <c r="B5" s="7">
        <f>COUNTIFS(Реєстр!$C$5:$C$200,A5,Реєстр!$G$5:$G$200,"прийнято*")</f>
        <v/>
      </c>
      <c r="C5" s="7" t="n">
        <v>2</v>
      </c>
      <c r="D5" s="7">
        <f>IF(B5&gt;=C5,"так","ні")</f>
        <v/>
      </c>
    </row>
    <row r="6">
      <c r="A6" s="7" t="inlineStr">
        <is>
          <t>несуперечливість</t>
        </is>
      </c>
      <c r="B6" s="7">
        <f>COUNTIFS(Реєстр!$C$5:$C$200,A6,Реєстр!$G$5:$G$200,"прийнято*")</f>
        <v/>
      </c>
      <c r="C6" s="7" t="n">
        <v>2</v>
      </c>
      <c r="D6" s="7">
        <f>IF(B6&gt;=C6,"так","ні")</f>
        <v/>
      </c>
    </row>
    <row r="7">
      <c r="A7" s="7" t="inlineStr">
        <is>
          <t>простежуваність</t>
        </is>
      </c>
      <c r="B7" s="7">
        <f>COUNTIFS(Реєстр!$C$5:$C$200,A7,Реєстр!$G$5:$G$200,"прийнято*")</f>
        <v/>
      </c>
      <c r="C7" s="7" t="n">
        <v>2</v>
      </c>
      <c r="D7" s="7">
        <f>IF(B7&gt;=C7,"так","ні")</f>
        <v/>
      </c>
    </row>
    <row r="8">
      <c r="A8" s="7" t="inlineStr">
        <is>
          <t>здійсненність</t>
        </is>
      </c>
      <c r="B8" s="7">
        <f>COUNTIFS(Реєстр!$C$5:$C$200,A8,Реєстр!$G$5:$G$200,"прийнято*")</f>
        <v/>
      </c>
      <c r="C8" s="7" t="n">
        <v>2</v>
      </c>
      <c r="D8" s="7">
        <f>IF(B8&gt;=C8,"так","ні")</f>
        <v/>
      </c>
    </row>
    <row r="9">
      <c r="A9" s="7" t="inlineStr">
        <is>
          <t>тестопридатність</t>
        </is>
      </c>
      <c r="B9" s="7">
        <f>COUNTIFS(Реєстр!$C$5:$C$200,A9,Реєстр!$G$5:$G$200,"прийнято*")</f>
        <v/>
      </c>
      <c r="C9" s="7" t="n">
        <v>2</v>
      </c>
      <c r="D9" s="7">
        <f>IF(B9&gt;=C9,"так","ні")</f>
        <v/>
      </c>
    </row>
    <row r="10">
      <c r="A10" s="7" t="inlineStr">
        <is>
          <t>Усього прийнятих дефектів</t>
        </is>
      </c>
      <c r="B10" s="7">
        <f>COUNTIF(Реєстр!$G$5:$G$200,"прийнято*")</f>
        <v/>
      </c>
      <c r="C10" s="7" t="n">
        <v>20</v>
      </c>
      <c r="D10" s="7">
        <f>IF(B10&gt;=C10,"так","ні")</f>
        <v/>
      </c>
    </row>
    <row r="11">
      <c r="A11" s="7" t="inlineStr">
        <is>
          <t>Усього рядків у реєстрі</t>
        </is>
      </c>
      <c r="B11" s="7">
        <f>COUNTA(Реєстр!$A$5:$A$200)</f>
        <v/>
      </c>
      <c r="C11" s="7" t="n"/>
      <c r="D11" s="7" t="n"/>
    </row>
    <row r="12">
      <c r="A12" s="7" t="inlineStr">
        <is>
          <t>Рядків без автора (мають бути 0 перед здачею)</t>
        </is>
      </c>
      <c r="B12" s="7">
        <f>COUNTIF(Реєстр!$F$5:$F$200,"[ПІБ*")</f>
        <v/>
      </c>
      <c r="C12" s="7" t="n"/>
      <c r="D12" s="7" t="n"/>
    </row>
    <row r="14">
      <c r="A14" s="12" t="inlineStr">
        <is>
          <t>Позначка рецензента</t>
        </is>
      </c>
      <c r="B14" s="13" t="inlineStr">
        <is>
          <t>Кмець Марк Ігорович (Аудитор-опонент)</t>
        </is>
      </c>
      <c r="C14" s="14" t="inlineStr">
        <is>
          <t>11.10.2026</t>
        </is>
      </c>
    </row>
    <row r="15">
      <c r="A15" s="12" t="inlineStr">
        <is>
          <t>Вердикт рецензента</t>
        </is>
      </c>
      <c r="B15" s="13" t="inlineStr">
        <is>
          <t>Затверджено — реєстр відповідає DoD Спринту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2026-10-06T19:48:02Z</dcterms:created>
  <dcterms:modified xmlns:dcterms="http://purl.org/dc/terms/" xmlns:xsi="http://www.w3.org/2001/XMLSchema-instance" xsi:type="dcterms:W3CDTF">2026-10-12T15:39:55Z</dcterms:modified>
</cp:coreProperties>
</file>